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gu\Desktop\"/>
    </mc:Choice>
  </mc:AlternateContent>
  <xr:revisionPtr revIDLastSave="0" documentId="13_ncr:1_{0B85E2E2-671C-4300-A227-58CED273C78D}" xr6:coauthVersionLast="47" xr6:coauthVersionMax="47" xr10:uidLastSave="{00000000-0000-0000-0000-000000000000}"/>
  <bookViews>
    <workbookView xWindow="28680" yWindow="-120" windowWidth="29040" windowHeight="15840" xr2:uid="{617BD00B-3895-41F7-8580-D0395E714D25}"/>
  </bookViews>
  <sheets>
    <sheet name="Approx Max" sheetId="1" r:id="rId1"/>
    <sheet name="Approx CDF" sheetId="2" r:id="rId2"/>
  </sheets>
  <functionGroups builtInGroupCount="19"/>
  <definedNames>
    <definedName name="solver_adj" localSheetId="1" hidden="1">'Approx CDF'!$J$4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'Approx CDF'!$L$4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/>
  <c r="F5" i="1"/>
  <c r="G5" i="1"/>
  <c r="I9" i="2"/>
  <c r="K9" i="2" s="1"/>
  <c r="J8" i="2"/>
  <c r="L8" i="2" s="1"/>
  <c r="I8" i="2"/>
  <c r="K8" i="2" s="1"/>
  <c r="K7" i="2"/>
  <c r="J7" i="2"/>
  <c r="L7" i="2" s="1"/>
  <c r="I7" i="2"/>
  <c r="K6" i="2"/>
  <c r="J6" i="2"/>
  <c r="L6" i="2" s="1"/>
  <c r="D6" i="1"/>
  <c r="D5" i="1"/>
  <c r="C6" i="1"/>
  <c r="B7" i="1"/>
  <c r="C7" i="1" s="1"/>
  <c r="E6" i="1" a="1"/>
  <c r="E7" i="1" a="1"/>
  <c r="F7" i="1" a="1"/>
  <c r="F6" i="1" a="1"/>
  <c r="G7" i="1" a="1"/>
  <c r="G6" i="1" a="1"/>
  <c r="D7" i="1" l="1"/>
  <c r="E7" i="1"/>
  <c r="E6" i="1"/>
  <c r="F6" i="1"/>
  <c r="F7" i="1"/>
  <c r="G6" i="1"/>
  <c r="G7" i="1"/>
  <c r="J9" i="2"/>
  <c r="L9" i="2" s="1"/>
  <c r="I10" i="2"/>
  <c r="B8" i="1"/>
  <c r="G8" i="1" a="1"/>
  <c r="F8" i="1" a="1"/>
  <c r="E8" i="1" a="1"/>
  <c r="E8" i="1" l="1"/>
  <c r="F8" i="1"/>
  <c r="G8" i="1"/>
  <c r="D8" i="1"/>
  <c r="K10" i="2"/>
  <c r="I11" i="2"/>
  <c r="J10" i="2"/>
  <c r="L10" i="2" s="1"/>
  <c r="B9" i="1"/>
  <c r="C8" i="1"/>
  <c r="G9" i="1" a="1"/>
  <c r="F9" i="1" a="1"/>
  <c r="E9" i="1" a="1"/>
  <c r="E9" i="1" l="1"/>
  <c r="F9" i="1"/>
  <c r="G9" i="1"/>
  <c r="D9" i="1"/>
  <c r="I12" i="2"/>
  <c r="J11" i="2"/>
  <c r="L11" i="2" s="1"/>
  <c r="K11" i="2"/>
  <c r="B10" i="1"/>
  <c r="C9" i="1"/>
  <c r="G10" i="1" a="1"/>
  <c r="F10" i="1" a="1"/>
  <c r="E10" i="1" a="1"/>
  <c r="E10" i="1" l="1"/>
  <c r="F10" i="1"/>
  <c r="G10" i="1"/>
  <c r="D10" i="1"/>
  <c r="I13" i="2"/>
  <c r="J12" i="2"/>
  <c r="L12" i="2" s="1"/>
  <c r="K12" i="2"/>
  <c r="B11" i="1"/>
  <c r="C10" i="1"/>
  <c r="G11" i="1" a="1"/>
  <c r="F11" i="1" a="1"/>
  <c r="E11" i="1" a="1"/>
  <c r="E11" i="1" l="1"/>
  <c r="F11" i="1"/>
  <c r="G11" i="1"/>
  <c r="D11" i="1"/>
  <c r="K13" i="2"/>
  <c r="I14" i="2"/>
  <c r="J13" i="2"/>
  <c r="L13" i="2" s="1"/>
  <c r="B12" i="1"/>
  <c r="C11" i="1"/>
  <c r="G12" i="1" a="1"/>
  <c r="F12" i="1" a="1"/>
  <c r="E12" i="1" a="1"/>
  <c r="E12" i="1" l="1"/>
  <c r="F12" i="1"/>
  <c r="G12" i="1"/>
  <c r="D12" i="1"/>
  <c r="K14" i="2"/>
  <c r="I15" i="2"/>
  <c r="J14" i="2"/>
  <c r="L14" i="2" s="1"/>
  <c r="B13" i="1"/>
  <c r="C12" i="1"/>
  <c r="G13" i="1" a="1"/>
  <c r="F13" i="1" a="1"/>
  <c r="E13" i="1" a="1"/>
  <c r="E13" i="1" l="1"/>
  <c r="F13" i="1"/>
  <c r="G13" i="1"/>
  <c r="D13" i="1"/>
  <c r="I16" i="2"/>
  <c r="J15" i="2"/>
  <c r="L15" i="2" s="1"/>
  <c r="K15" i="2"/>
  <c r="B14" i="1"/>
  <c r="C13" i="1"/>
  <c r="G14" i="1" a="1"/>
  <c r="F14" i="1" a="1"/>
  <c r="E14" i="1" a="1"/>
  <c r="E14" i="1" l="1"/>
  <c r="F14" i="1"/>
  <c r="G14" i="1"/>
  <c r="D14" i="1"/>
  <c r="I17" i="2"/>
  <c r="J16" i="2"/>
  <c r="L16" i="2" s="1"/>
  <c r="K16" i="2"/>
  <c r="B15" i="1"/>
  <c r="C14" i="1"/>
  <c r="G15" i="1" a="1"/>
  <c r="F15" i="1" a="1"/>
  <c r="E15" i="1" a="1"/>
  <c r="E15" i="1" l="1"/>
  <c r="F15" i="1"/>
  <c r="G15" i="1"/>
  <c r="D15" i="1"/>
  <c r="K17" i="2"/>
  <c r="I18" i="2"/>
  <c r="J17" i="2"/>
  <c r="L17" i="2" s="1"/>
  <c r="B16" i="1"/>
  <c r="C15" i="1"/>
  <c r="G16" i="1" a="1"/>
  <c r="F16" i="1" a="1"/>
  <c r="E16" i="1" a="1"/>
  <c r="E16" i="1" l="1"/>
  <c r="F16" i="1"/>
  <c r="G16" i="1"/>
  <c r="D16" i="1"/>
  <c r="K18" i="2"/>
  <c r="I19" i="2"/>
  <c r="J18" i="2"/>
  <c r="L18" i="2" s="1"/>
  <c r="B17" i="1"/>
  <c r="C16" i="1"/>
  <c r="G17" i="1" a="1"/>
  <c r="F17" i="1" a="1"/>
  <c r="E17" i="1" a="1"/>
  <c r="E17" i="1" l="1"/>
  <c r="F17" i="1"/>
  <c r="G17" i="1"/>
  <c r="D17" i="1"/>
  <c r="I20" i="2"/>
  <c r="J19" i="2"/>
  <c r="L19" i="2" s="1"/>
  <c r="K19" i="2"/>
  <c r="B18" i="1"/>
  <c r="C17" i="1"/>
  <c r="G18" i="1" a="1"/>
  <c r="F18" i="1" a="1"/>
  <c r="E18" i="1" a="1"/>
  <c r="E18" i="1" l="1"/>
  <c r="F18" i="1"/>
  <c r="G18" i="1"/>
  <c r="D18" i="1"/>
  <c r="I21" i="2"/>
  <c r="J20" i="2"/>
  <c r="L20" i="2" s="1"/>
  <c r="K20" i="2"/>
  <c r="B19" i="1"/>
  <c r="C18" i="1"/>
  <c r="G19" i="1" a="1"/>
  <c r="F19" i="1" a="1"/>
  <c r="E19" i="1" a="1"/>
  <c r="E19" i="1" l="1"/>
  <c r="F19" i="1"/>
  <c r="G19" i="1"/>
  <c r="D19" i="1"/>
  <c r="K21" i="2"/>
  <c r="I22" i="2"/>
  <c r="J21" i="2"/>
  <c r="L21" i="2" s="1"/>
  <c r="B20" i="1"/>
  <c r="C19" i="1"/>
  <c r="G20" i="1" a="1"/>
  <c r="F20" i="1" a="1"/>
  <c r="E20" i="1" a="1"/>
  <c r="E20" i="1" l="1"/>
  <c r="F20" i="1"/>
  <c r="G20" i="1"/>
  <c r="D20" i="1"/>
  <c r="I23" i="2"/>
  <c r="K22" i="2"/>
  <c r="J22" i="2"/>
  <c r="L22" i="2" s="1"/>
  <c r="B21" i="1"/>
  <c r="C20" i="1"/>
  <c r="G21" i="1" a="1"/>
  <c r="F21" i="1" a="1"/>
  <c r="E21" i="1" a="1"/>
  <c r="E21" i="1" l="1"/>
  <c r="F21" i="1"/>
  <c r="G21" i="1"/>
  <c r="D21" i="1"/>
  <c r="K23" i="2"/>
  <c r="J23" i="2"/>
  <c r="L23" i="2" s="1"/>
  <c r="I24" i="2"/>
  <c r="B22" i="1"/>
  <c r="C21" i="1"/>
  <c r="G22" i="1" a="1"/>
  <c r="F22" i="1" a="1"/>
  <c r="E22" i="1" a="1"/>
  <c r="E22" i="1" l="1"/>
  <c r="F22" i="1"/>
  <c r="G22" i="1"/>
  <c r="D22" i="1"/>
  <c r="I25" i="2"/>
  <c r="J24" i="2"/>
  <c r="L24" i="2" s="1"/>
  <c r="K24" i="2"/>
  <c r="B23" i="1"/>
  <c r="C22" i="1"/>
  <c r="G23" i="1" a="1"/>
  <c r="F23" i="1" a="1"/>
  <c r="E23" i="1" a="1"/>
  <c r="E23" i="1" l="1"/>
  <c r="F23" i="1"/>
  <c r="G23" i="1"/>
  <c r="D23" i="1"/>
  <c r="K25" i="2"/>
  <c r="I26" i="2"/>
  <c r="J25" i="2"/>
  <c r="L25" i="2" s="1"/>
  <c r="B24" i="1"/>
  <c r="C23" i="1"/>
  <c r="G24" i="1" a="1"/>
  <c r="F24" i="1" a="1"/>
  <c r="E24" i="1" a="1"/>
  <c r="E24" i="1" l="1"/>
  <c r="F24" i="1"/>
  <c r="G24" i="1"/>
  <c r="D24" i="1"/>
  <c r="I27" i="2"/>
  <c r="J26" i="2"/>
  <c r="L26" i="2" s="1"/>
  <c r="K26" i="2"/>
  <c r="B25" i="1"/>
  <c r="C24" i="1"/>
  <c r="G25" i="1" a="1"/>
  <c r="F25" i="1" a="1"/>
  <c r="E25" i="1" a="1"/>
  <c r="E25" i="1" l="1"/>
  <c r="F25" i="1"/>
  <c r="G25" i="1"/>
  <c r="D25" i="1"/>
  <c r="K27" i="2"/>
  <c r="I28" i="2"/>
  <c r="J27" i="2"/>
  <c r="L27" i="2" s="1"/>
  <c r="B26" i="1"/>
  <c r="C25" i="1"/>
  <c r="G26" i="1" a="1"/>
  <c r="F26" i="1" a="1"/>
  <c r="E26" i="1" a="1"/>
  <c r="E26" i="1" l="1"/>
  <c r="F26" i="1"/>
  <c r="G26" i="1"/>
  <c r="D26" i="1"/>
  <c r="I29" i="2"/>
  <c r="J28" i="2"/>
  <c r="L28" i="2" s="1"/>
  <c r="K28" i="2"/>
  <c r="B27" i="1"/>
  <c r="C26" i="1"/>
  <c r="G27" i="1" a="1"/>
  <c r="F27" i="1" a="1"/>
  <c r="E27" i="1" a="1"/>
  <c r="E27" i="1" l="1"/>
  <c r="F27" i="1"/>
  <c r="G27" i="1"/>
  <c r="D27" i="1"/>
  <c r="K29" i="2"/>
  <c r="I30" i="2"/>
  <c r="J29" i="2"/>
  <c r="L29" i="2" s="1"/>
  <c r="B28" i="1"/>
  <c r="C27" i="1"/>
  <c r="G28" i="1" a="1"/>
  <c r="F28" i="1" a="1"/>
  <c r="E28" i="1" a="1"/>
  <c r="E28" i="1" l="1"/>
  <c r="F28" i="1"/>
  <c r="G28" i="1"/>
  <c r="D28" i="1"/>
  <c r="I31" i="2"/>
  <c r="J30" i="2"/>
  <c r="L30" i="2" s="1"/>
  <c r="K30" i="2"/>
  <c r="B29" i="1"/>
  <c r="C28" i="1"/>
  <c r="G29" i="1" a="1"/>
  <c r="F29" i="1" a="1"/>
  <c r="E29" i="1" a="1"/>
  <c r="E29" i="1" l="1"/>
  <c r="F29" i="1"/>
  <c r="G29" i="1"/>
  <c r="D29" i="1"/>
  <c r="K31" i="2"/>
  <c r="I32" i="2"/>
  <c r="J31" i="2"/>
  <c r="L31" i="2" s="1"/>
  <c r="B30" i="1"/>
  <c r="C29" i="1"/>
  <c r="G30" i="1" a="1"/>
  <c r="F30" i="1" a="1"/>
  <c r="E30" i="1" a="1"/>
  <c r="E30" i="1" l="1"/>
  <c r="F30" i="1"/>
  <c r="G30" i="1"/>
  <c r="D30" i="1"/>
  <c r="I33" i="2"/>
  <c r="J32" i="2"/>
  <c r="L32" i="2" s="1"/>
  <c r="K32" i="2"/>
  <c r="B31" i="1"/>
  <c r="C30" i="1"/>
  <c r="G31" i="1" a="1"/>
  <c r="F31" i="1" a="1"/>
  <c r="E31" i="1" a="1"/>
  <c r="E31" i="1" l="1"/>
  <c r="F31" i="1"/>
  <c r="G31" i="1"/>
  <c r="D31" i="1"/>
  <c r="K33" i="2"/>
  <c r="I34" i="2"/>
  <c r="J33" i="2"/>
  <c r="L33" i="2" s="1"/>
  <c r="B32" i="1"/>
  <c r="C31" i="1"/>
  <c r="G32" i="1" a="1"/>
  <c r="F32" i="1" a="1"/>
  <c r="E32" i="1" a="1"/>
  <c r="E32" i="1" l="1"/>
  <c r="F32" i="1"/>
  <c r="G32" i="1"/>
  <c r="D32" i="1"/>
  <c r="I35" i="2"/>
  <c r="J34" i="2"/>
  <c r="L34" i="2" s="1"/>
  <c r="K34" i="2"/>
  <c r="B33" i="1"/>
  <c r="C32" i="1"/>
  <c r="G33" i="1" a="1"/>
  <c r="F33" i="1" a="1"/>
  <c r="E33" i="1" a="1"/>
  <c r="E33" i="1" l="1"/>
  <c r="F33" i="1"/>
  <c r="G33" i="1"/>
  <c r="D33" i="1"/>
  <c r="K35" i="2"/>
  <c r="J35" i="2"/>
  <c r="L35" i="2" s="1"/>
  <c r="I36" i="2"/>
  <c r="B34" i="1"/>
  <c r="C33" i="1"/>
  <c r="G34" i="1" a="1"/>
  <c r="F34" i="1" a="1"/>
  <c r="E34" i="1" a="1"/>
  <c r="E34" i="1" l="1"/>
  <c r="F34" i="1"/>
  <c r="G34" i="1"/>
  <c r="D34" i="1"/>
  <c r="I37" i="2"/>
  <c r="J36" i="2"/>
  <c r="L36" i="2" s="1"/>
  <c r="K36" i="2"/>
  <c r="B35" i="1"/>
  <c r="C34" i="1"/>
  <c r="G35" i="1" a="1"/>
  <c r="F35" i="1" a="1"/>
  <c r="E35" i="1" a="1"/>
  <c r="E35" i="1" l="1"/>
  <c r="F35" i="1"/>
  <c r="G35" i="1"/>
  <c r="D35" i="1"/>
  <c r="K37" i="2"/>
  <c r="I38" i="2"/>
  <c r="J37" i="2"/>
  <c r="L37" i="2" s="1"/>
  <c r="B36" i="1"/>
  <c r="C35" i="1"/>
  <c r="G36" i="1" a="1"/>
  <c r="F36" i="1" a="1"/>
  <c r="E36" i="1" a="1"/>
  <c r="E36" i="1" l="1"/>
  <c r="F36" i="1"/>
  <c r="G36" i="1"/>
  <c r="D36" i="1"/>
  <c r="I39" i="2"/>
  <c r="J38" i="2"/>
  <c r="L38" i="2" s="1"/>
  <c r="K38" i="2"/>
  <c r="B37" i="1"/>
  <c r="C36" i="1"/>
  <c r="G37" i="1" a="1"/>
  <c r="F37" i="1" a="1"/>
  <c r="E37" i="1" a="1"/>
  <c r="E37" i="1" l="1"/>
  <c r="F37" i="1"/>
  <c r="G37" i="1"/>
  <c r="D37" i="1"/>
  <c r="K39" i="2"/>
  <c r="J39" i="2"/>
  <c r="L39" i="2" s="1"/>
  <c r="I40" i="2"/>
  <c r="B38" i="1"/>
  <c r="C37" i="1"/>
  <c r="G38" i="1" a="1"/>
  <c r="F38" i="1" a="1"/>
  <c r="E38" i="1" a="1"/>
  <c r="E38" i="1" l="1"/>
  <c r="F38" i="1"/>
  <c r="G38" i="1"/>
  <c r="D38" i="1"/>
  <c r="I41" i="2"/>
  <c r="J40" i="2"/>
  <c r="L40" i="2" s="1"/>
  <c r="K40" i="2"/>
  <c r="B39" i="1"/>
  <c r="C38" i="1"/>
  <c r="G39" i="1" a="1"/>
  <c r="F39" i="1" a="1"/>
  <c r="E39" i="1" a="1"/>
  <c r="E39" i="1" l="1"/>
  <c r="F39" i="1"/>
  <c r="G39" i="1"/>
  <c r="D39" i="1"/>
  <c r="K41" i="2"/>
  <c r="I42" i="2"/>
  <c r="J41" i="2"/>
  <c r="L41" i="2" s="1"/>
  <c r="B40" i="1"/>
  <c r="C39" i="1"/>
  <c r="G40" i="1" a="1"/>
  <c r="F40" i="1" a="1"/>
  <c r="E40" i="1" a="1"/>
  <c r="E40" i="1" l="1"/>
  <c r="F40" i="1"/>
  <c r="G40" i="1"/>
  <c r="D40" i="1"/>
  <c r="I43" i="2"/>
  <c r="J42" i="2"/>
  <c r="L42" i="2" s="1"/>
  <c r="K42" i="2"/>
  <c r="B41" i="1"/>
  <c r="C40" i="1"/>
  <c r="G41" i="1" a="1"/>
  <c r="F41" i="1" a="1"/>
  <c r="E41" i="1" a="1"/>
  <c r="E41" i="1" l="1"/>
  <c r="F41" i="1"/>
  <c r="G41" i="1"/>
  <c r="D41" i="1"/>
  <c r="K43" i="2"/>
  <c r="I44" i="2"/>
  <c r="J43" i="2"/>
  <c r="L43" i="2" s="1"/>
  <c r="B42" i="1"/>
  <c r="C41" i="1"/>
  <c r="G42" i="1" a="1"/>
  <c r="F42" i="1" a="1"/>
  <c r="E42" i="1" a="1"/>
  <c r="E42" i="1" l="1"/>
  <c r="F42" i="1"/>
  <c r="G42" i="1"/>
  <c r="D42" i="1"/>
  <c r="I45" i="2"/>
  <c r="J44" i="2"/>
  <c r="L44" i="2" s="1"/>
  <c r="K44" i="2"/>
  <c r="B43" i="1"/>
  <c r="C42" i="1"/>
  <c r="G43" i="1" a="1"/>
  <c r="F43" i="1" a="1"/>
  <c r="E43" i="1" a="1"/>
  <c r="E43" i="1" l="1"/>
  <c r="F43" i="1"/>
  <c r="G43" i="1"/>
  <c r="D43" i="1"/>
  <c r="K45" i="2"/>
  <c r="I46" i="2"/>
  <c r="J45" i="2"/>
  <c r="L45" i="2" s="1"/>
  <c r="B44" i="1"/>
  <c r="C43" i="1"/>
  <c r="G44" i="1" a="1"/>
  <c r="F44" i="1" a="1"/>
  <c r="E44" i="1" a="1"/>
  <c r="E44" i="1" l="1"/>
  <c r="F44" i="1"/>
  <c r="G44" i="1"/>
  <c r="D44" i="1"/>
  <c r="K46" i="2"/>
  <c r="I47" i="2"/>
  <c r="J46" i="2"/>
  <c r="L46" i="2" s="1"/>
  <c r="B45" i="1"/>
  <c r="C44" i="1"/>
  <c r="G45" i="1" a="1"/>
  <c r="F45" i="1" a="1"/>
  <c r="E45" i="1" a="1"/>
  <c r="E45" i="1" l="1"/>
  <c r="F45" i="1"/>
  <c r="G45" i="1"/>
  <c r="D45" i="1"/>
  <c r="K47" i="2"/>
  <c r="I48" i="2"/>
  <c r="J47" i="2"/>
  <c r="L47" i="2" s="1"/>
  <c r="B46" i="1"/>
  <c r="C45" i="1"/>
  <c r="G46" i="1" a="1"/>
  <c r="F46" i="1" a="1"/>
  <c r="E46" i="1" a="1"/>
  <c r="E46" i="1" l="1"/>
  <c r="F46" i="1"/>
  <c r="G46" i="1"/>
  <c r="D46" i="1"/>
  <c r="I49" i="2"/>
  <c r="J48" i="2"/>
  <c r="L48" i="2" s="1"/>
  <c r="K48" i="2"/>
  <c r="B47" i="1"/>
  <c r="C46" i="1"/>
  <c r="G47" i="1" a="1"/>
  <c r="F47" i="1" a="1"/>
  <c r="E47" i="1" a="1"/>
  <c r="E47" i="1" l="1"/>
  <c r="F47" i="1"/>
  <c r="G47" i="1"/>
  <c r="D47" i="1"/>
  <c r="K49" i="2"/>
  <c r="I50" i="2"/>
  <c r="J49" i="2"/>
  <c r="L49" i="2" s="1"/>
  <c r="B48" i="1"/>
  <c r="C47" i="1"/>
  <c r="G48" i="1" a="1"/>
  <c r="F48" i="1" a="1"/>
  <c r="E48" i="1" a="1"/>
  <c r="E48" i="1" l="1"/>
  <c r="F48" i="1"/>
  <c r="G48" i="1"/>
  <c r="D48" i="1"/>
  <c r="K50" i="2"/>
  <c r="I51" i="2"/>
  <c r="J50" i="2"/>
  <c r="L50" i="2" s="1"/>
  <c r="B49" i="1"/>
  <c r="C48" i="1"/>
  <c r="G49" i="1" a="1"/>
  <c r="F49" i="1" a="1"/>
  <c r="E49" i="1" a="1"/>
  <c r="E49" i="1" l="1"/>
  <c r="F49" i="1"/>
  <c r="G49" i="1"/>
  <c r="D49" i="1"/>
  <c r="K51" i="2"/>
  <c r="I52" i="2"/>
  <c r="J51" i="2"/>
  <c r="L51" i="2" s="1"/>
  <c r="B50" i="1"/>
  <c r="C49" i="1"/>
  <c r="G50" i="1" a="1"/>
  <c r="F50" i="1" a="1"/>
  <c r="E50" i="1" a="1"/>
  <c r="E50" i="1" l="1"/>
  <c r="F50" i="1"/>
  <c r="G50" i="1"/>
  <c r="D50" i="1"/>
  <c r="I53" i="2"/>
  <c r="J52" i="2"/>
  <c r="L52" i="2" s="1"/>
  <c r="K52" i="2"/>
  <c r="B51" i="1"/>
  <c r="C50" i="1"/>
  <c r="G51" i="1" a="1"/>
  <c r="F51" i="1" a="1"/>
  <c r="E51" i="1" a="1"/>
  <c r="E51" i="1" l="1"/>
  <c r="F51" i="1"/>
  <c r="G51" i="1"/>
  <c r="D51" i="1"/>
  <c r="K53" i="2"/>
  <c r="I54" i="2"/>
  <c r="J53" i="2"/>
  <c r="L53" i="2" s="1"/>
  <c r="B52" i="1"/>
  <c r="C51" i="1"/>
  <c r="G52" i="1" a="1"/>
  <c r="F52" i="1" a="1"/>
  <c r="E52" i="1" a="1"/>
  <c r="E52" i="1" l="1"/>
  <c r="F52" i="1"/>
  <c r="G52" i="1"/>
  <c r="D52" i="1"/>
  <c r="K54" i="2"/>
  <c r="I55" i="2"/>
  <c r="J54" i="2"/>
  <c r="L54" i="2" s="1"/>
  <c r="B53" i="1"/>
  <c r="C52" i="1"/>
  <c r="G53" i="1" a="1"/>
  <c r="F53" i="1" a="1"/>
  <c r="E53" i="1" a="1"/>
  <c r="E53" i="1" l="1"/>
  <c r="F53" i="1"/>
  <c r="G53" i="1"/>
  <c r="D53" i="1"/>
  <c r="K55" i="2"/>
  <c r="I56" i="2"/>
  <c r="J55" i="2"/>
  <c r="L55" i="2" s="1"/>
  <c r="B54" i="1"/>
  <c r="C53" i="1"/>
  <c r="G54" i="1" a="1"/>
  <c r="F54" i="1" a="1"/>
  <c r="E54" i="1" a="1"/>
  <c r="E54" i="1" l="1"/>
  <c r="F54" i="1"/>
  <c r="G54" i="1"/>
  <c r="D54" i="1"/>
  <c r="I57" i="2"/>
  <c r="J56" i="2"/>
  <c r="L56" i="2" s="1"/>
  <c r="K56" i="2"/>
  <c r="B55" i="1"/>
  <c r="C54" i="1"/>
  <c r="G55" i="1" a="1"/>
  <c r="F55" i="1" a="1"/>
  <c r="E55" i="1" a="1"/>
  <c r="E55" i="1" l="1"/>
  <c r="F55" i="1"/>
  <c r="G55" i="1"/>
  <c r="D55" i="1"/>
  <c r="K57" i="2"/>
  <c r="I58" i="2"/>
  <c r="J57" i="2"/>
  <c r="L57" i="2" s="1"/>
  <c r="B56" i="1"/>
  <c r="C55" i="1"/>
  <c r="G56" i="1" a="1"/>
  <c r="F56" i="1" a="1"/>
  <c r="E56" i="1" a="1"/>
  <c r="E56" i="1" l="1"/>
  <c r="F56" i="1"/>
  <c r="G56" i="1"/>
  <c r="D56" i="1"/>
  <c r="K58" i="2"/>
  <c r="I59" i="2"/>
  <c r="J58" i="2"/>
  <c r="L58" i="2" s="1"/>
  <c r="B57" i="1"/>
  <c r="C56" i="1"/>
  <c r="G57" i="1" a="1"/>
  <c r="F57" i="1" a="1"/>
  <c r="E57" i="1" a="1"/>
  <c r="E57" i="1" l="1"/>
  <c r="F57" i="1"/>
  <c r="G57" i="1"/>
  <c r="D57" i="1"/>
  <c r="K59" i="2"/>
  <c r="I60" i="2"/>
  <c r="J59" i="2"/>
  <c r="L59" i="2" s="1"/>
  <c r="B58" i="1"/>
  <c r="C57" i="1"/>
  <c r="G58" i="1" a="1"/>
  <c r="F58" i="1" a="1"/>
  <c r="E58" i="1" a="1"/>
  <c r="E58" i="1" l="1"/>
  <c r="F58" i="1"/>
  <c r="G58" i="1"/>
  <c r="D58" i="1"/>
  <c r="I61" i="2"/>
  <c r="J60" i="2"/>
  <c r="L60" i="2" s="1"/>
  <c r="K60" i="2"/>
  <c r="B59" i="1"/>
  <c r="C58" i="1"/>
  <c r="G59" i="1" a="1"/>
  <c r="F59" i="1" a="1"/>
  <c r="E59" i="1" a="1"/>
  <c r="E59" i="1" l="1"/>
  <c r="F59" i="1"/>
  <c r="G59" i="1"/>
  <c r="D59" i="1"/>
  <c r="K61" i="2"/>
  <c r="I62" i="2"/>
  <c r="J61" i="2"/>
  <c r="L61" i="2" s="1"/>
  <c r="B60" i="1"/>
  <c r="C59" i="1"/>
  <c r="G60" i="1" a="1"/>
  <c r="F60" i="1" a="1"/>
  <c r="E60" i="1" a="1"/>
  <c r="E60" i="1" l="1"/>
  <c r="F60" i="1"/>
  <c r="G60" i="1"/>
  <c r="D60" i="1"/>
  <c r="K62" i="2"/>
  <c r="I63" i="2"/>
  <c r="J62" i="2"/>
  <c r="L62" i="2" s="1"/>
  <c r="B61" i="1"/>
  <c r="C60" i="1"/>
  <c r="G61" i="1" a="1"/>
  <c r="F61" i="1" a="1"/>
  <c r="E61" i="1" a="1"/>
  <c r="E61" i="1" l="1"/>
  <c r="F61" i="1"/>
  <c r="G61" i="1"/>
  <c r="D61" i="1"/>
  <c r="K63" i="2"/>
  <c r="I64" i="2"/>
  <c r="J63" i="2"/>
  <c r="L63" i="2" s="1"/>
  <c r="B62" i="1"/>
  <c r="C61" i="1"/>
  <c r="G62" i="1" a="1"/>
  <c r="F62" i="1" a="1"/>
  <c r="E62" i="1" a="1"/>
  <c r="E62" i="1" l="1"/>
  <c r="F62" i="1"/>
  <c r="G62" i="1"/>
  <c r="D62" i="1"/>
  <c r="I65" i="2"/>
  <c r="J64" i="2"/>
  <c r="L64" i="2" s="1"/>
  <c r="K64" i="2"/>
  <c r="B63" i="1"/>
  <c r="C62" i="1"/>
  <c r="G63" i="1" a="1"/>
  <c r="F63" i="1" a="1"/>
  <c r="E63" i="1" a="1"/>
  <c r="E63" i="1" l="1"/>
  <c r="F63" i="1"/>
  <c r="G63" i="1"/>
  <c r="D63" i="1"/>
  <c r="K65" i="2"/>
  <c r="I66" i="2"/>
  <c r="J65" i="2"/>
  <c r="L65" i="2" s="1"/>
  <c r="B64" i="1"/>
  <c r="C63" i="1"/>
  <c r="G64" i="1" a="1"/>
  <c r="F64" i="1" a="1"/>
  <c r="E64" i="1" a="1"/>
  <c r="E64" i="1" l="1"/>
  <c r="F64" i="1"/>
  <c r="G64" i="1"/>
  <c r="D64" i="1"/>
  <c r="K66" i="2"/>
  <c r="I67" i="2"/>
  <c r="J66" i="2"/>
  <c r="L66" i="2" s="1"/>
  <c r="B65" i="1"/>
  <c r="C64" i="1"/>
  <c r="G65" i="1" a="1"/>
  <c r="F65" i="1" a="1"/>
  <c r="E65" i="1" a="1"/>
  <c r="E65" i="1" l="1"/>
  <c r="F65" i="1"/>
  <c r="G65" i="1"/>
  <c r="D65" i="1"/>
  <c r="K67" i="2"/>
  <c r="I68" i="2"/>
  <c r="J67" i="2"/>
  <c r="L67" i="2" s="1"/>
  <c r="B66" i="1"/>
  <c r="C65" i="1"/>
  <c r="G66" i="1" a="1"/>
  <c r="F66" i="1" a="1"/>
  <c r="E66" i="1" a="1"/>
  <c r="E66" i="1" l="1"/>
  <c r="F66" i="1"/>
  <c r="G66" i="1"/>
  <c r="D66" i="1"/>
  <c r="I69" i="2"/>
  <c r="J68" i="2"/>
  <c r="L68" i="2" s="1"/>
  <c r="K68" i="2"/>
  <c r="B67" i="1"/>
  <c r="C66" i="1"/>
  <c r="G67" i="1" a="1"/>
  <c r="F67" i="1" a="1"/>
  <c r="E67" i="1" a="1"/>
  <c r="E67" i="1" l="1"/>
  <c r="F67" i="1"/>
  <c r="G67" i="1"/>
  <c r="D67" i="1"/>
  <c r="K69" i="2"/>
  <c r="I70" i="2"/>
  <c r="J69" i="2"/>
  <c r="L69" i="2" s="1"/>
  <c r="B68" i="1"/>
  <c r="C67" i="1"/>
  <c r="G68" i="1" a="1"/>
  <c r="F68" i="1" a="1"/>
  <c r="E68" i="1" a="1"/>
  <c r="E68" i="1" l="1"/>
  <c r="F68" i="1"/>
  <c r="G68" i="1"/>
  <c r="D68" i="1"/>
  <c r="K70" i="2"/>
  <c r="I71" i="2"/>
  <c r="J70" i="2"/>
  <c r="L70" i="2" s="1"/>
  <c r="B69" i="1"/>
  <c r="C68" i="1"/>
  <c r="G69" i="1" a="1"/>
  <c r="F69" i="1" a="1"/>
  <c r="E69" i="1" a="1"/>
  <c r="E69" i="1" l="1"/>
  <c r="F69" i="1"/>
  <c r="G69" i="1"/>
  <c r="D69" i="1"/>
  <c r="K71" i="2"/>
  <c r="I72" i="2"/>
  <c r="J71" i="2"/>
  <c r="L71" i="2" s="1"/>
  <c r="B70" i="1"/>
  <c r="C69" i="1"/>
  <c r="G70" i="1" a="1"/>
  <c r="F70" i="1" a="1"/>
  <c r="E70" i="1" a="1"/>
  <c r="E70" i="1" l="1"/>
  <c r="F70" i="1"/>
  <c r="G70" i="1"/>
  <c r="D70" i="1"/>
  <c r="I73" i="2"/>
  <c r="J72" i="2"/>
  <c r="L72" i="2" s="1"/>
  <c r="K72" i="2"/>
  <c r="B71" i="1"/>
  <c r="C70" i="1"/>
  <c r="G71" i="1" a="1"/>
  <c r="F71" i="1" a="1"/>
  <c r="E71" i="1" a="1"/>
  <c r="E71" i="1" l="1"/>
  <c r="F71" i="1"/>
  <c r="G71" i="1"/>
  <c r="D71" i="1"/>
  <c r="K73" i="2"/>
  <c r="I74" i="2"/>
  <c r="J73" i="2"/>
  <c r="L73" i="2" s="1"/>
  <c r="B72" i="1"/>
  <c r="C71" i="1"/>
  <c r="G72" i="1" a="1"/>
  <c r="F72" i="1" a="1"/>
  <c r="E72" i="1" a="1"/>
  <c r="E72" i="1" l="1"/>
  <c r="F72" i="1"/>
  <c r="G72" i="1"/>
  <c r="D72" i="1"/>
  <c r="K74" i="2"/>
  <c r="I75" i="2"/>
  <c r="J74" i="2"/>
  <c r="L74" i="2" s="1"/>
  <c r="B73" i="1"/>
  <c r="C72" i="1"/>
  <c r="G73" i="1" a="1"/>
  <c r="F73" i="1" a="1"/>
  <c r="E73" i="1" a="1"/>
  <c r="E73" i="1" l="1"/>
  <c r="F73" i="1"/>
  <c r="G73" i="1"/>
  <c r="D73" i="1"/>
  <c r="K75" i="2"/>
  <c r="I76" i="2"/>
  <c r="J75" i="2"/>
  <c r="L75" i="2" s="1"/>
  <c r="B74" i="1"/>
  <c r="C73" i="1"/>
  <c r="G74" i="1" a="1"/>
  <c r="F74" i="1" a="1"/>
  <c r="E74" i="1" a="1"/>
  <c r="E74" i="1" l="1"/>
  <c r="F74" i="1"/>
  <c r="G74" i="1"/>
  <c r="D74" i="1"/>
  <c r="I77" i="2"/>
  <c r="J76" i="2"/>
  <c r="L76" i="2" s="1"/>
  <c r="K76" i="2"/>
  <c r="B75" i="1"/>
  <c r="C74" i="1"/>
  <c r="G75" i="1" a="1"/>
  <c r="F75" i="1" a="1"/>
  <c r="E75" i="1" a="1"/>
  <c r="E75" i="1" l="1"/>
  <c r="F75" i="1"/>
  <c r="G75" i="1"/>
  <c r="D75" i="1"/>
  <c r="K77" i="2"/>
  <c r="I78" i="2"/>
  <c r="J77" i="2"/>
  <c r="L77" i="2" s="1"/>
  <c r="B76" i="1"/>
  <c r="C75" i="1"/>
  <c r="G76" i="1" a="1"/>
  <c r="F76" i="1" a="1"/>
  <c r="E76" i="1" a="1"/>
  <c r="E76" i="1" l="1"/>
  <c r="F76" i="1"/>
  <c r="G76" i="1"/>
  <c r="D76" i="1"/>
  <c r="K78" i="2"/>
  <c r="I79" i="2"/>
  <c r="J78" i="2"/>
  <c r="L78" i="2" s="1"/>
  <c r="B77" i="1"/>
  <c r="C76" i="1"/>
  <c r="G77" i="1" a="1"/>
  <c r="F77" i="1" a="1"/>
  <c r="E77" i="1" a="1"/>
  <c r="E77" i="1" l="1"/>
  <c r="F77" i="1"/>
  <c r="G77" i="1"/>
  <c r="D77" i="1"/>
  <c r="K79" i="2"/>
  <c r="I80" i="2"/>
  <c r="J79" i="2"/>
  <c r="L79" i="2" s="1"/>
  <c r="B78" i="1"/>
  <c r="C77" i="1"/>
  <c r="G78" i="1" a="1"/>
  <c r="F78" i="1" a="1"/>
  <c r="E78" i="1" a="1"/>
  <c r="E78" i="1" l="1"/>
  <c r="F78" i="1"/>
  <c r="G78" i="1"/>
  <c r="D78" i="1"/>
  <c r="I81" i="2"/>
  <c r="J80" i="2"/>
  <c r="L80" i="2" s="1"/>
  <c r="K80" i="2"/>
  <c r="B79" i="1"/>
  <c r="C78" i="1"/>
  <c r="G79" i="1" a="1"/>
  <c r="F79" i="1" a="1"/>
  <c r="E79" i="1" a="1"/>
  <c r="E79" i="1" l="1"/>
  <c r="F79" i="1"/>
  <c r="G79" i="1"/>
  <c r="D79" i="1"/>
  <c r="K81" i="2"/>
  <c r="I82" i="2"/>
  <c r="J81" i="2"/>
  <c r="L81" i="2" s="1"/>
  <c r="B80" i="1"/>
  <c r="C79" i="1"/>
  <c r="G80" i="1" a="1"/>
  <c r="F80" i="1" a="1"/>
  <c r="E80" i="1" a="1"/>
  <c r="E80" i="1" l="1"/>
  <c r="F80" i="1"/>
  <c r="G80" i="1"/>
  <c r="D80" i="1"/>
  <c r="K82" i="2"/>
  <c r="I83" i="2"/>
  <c r="J82" i="2"/>
  <c r="L82" i="2" s="1"/>
  <c r="B81" i="1"/>
  <c r="C80" i="1"/>
  <c r="G81" i="1" a="1"/>
  <c r="F81" i="1" a="1"/>
  <c r="E81" i="1" a="1"/>
  <c r="E81" i="1" l="1"/>
  <c r="F81" i="1"/>
  <c r="G81" i="1"/>
  <c r="D81" i="1"/>
  <c r="K83" i="2"/>
  <c r="I84" i="2"/>
  <c r="J83" i="2"/>
  <c r="L83" i="2" s="1"/>
  <c r="B82" i="1"/>
  <c r="C81" i="1"/>
  <c r="G82" i="1" a="1"/>
  <c r="F82" i="1" a="1"/>
  <c r="E82" i="1" a="1"/>
  <c r="E82" i="1" l="1"/>
  <c r="F82" i="1"/>
  <c r="G82" i="1"/>
  <c r="D82" i="1"/>
  <c r="I85" i="2"/>
  <c r="J84" i="2"/>
  <c r="L84" i="2" s="1"/>
  <c r="K84" i="2"/>
  <c r="B83" i="1"/>
  <c r="C82" i="1"/>
  <c r="G83" i="1" a="1"/>
  <c r="F83" i="1" a="1"/>
  <c r="E83" i="1" a="1"/>
  <c r="E83" i="1" l="1"/>
  <c r="F83" i="1"/>
  <c r="G83" i="1"/>
  <c r="D83" i="1"/>
  <c r="K85" i="2"/>
  <c r="I86" i="2"/>
  <c r="J85" i="2"/>
  <c r="L85" i="2" s="1"/>
  <c r="B84" i="1"/>
  <c r="C83" i="1"/>
  <c r="G84" i="1" a="1"/>
  <c r="F84" i="1" a="1"/>
  <c r="E84" i="1" a="1"/>
  <c r="E84" i="1" l="1"/>
  <c r="F84" i="1"/>
  <c r="G84" i="1"/>
  <c r="D84" i="1"/>
  <c r="K86" i="2"/>
  <c r="I87" i="2"/>
  <c r="J86" i="2"/>
  <c r="L86" i="2" s="1"/>
  <c r="B85" i="1"/>
  <c r="C84" i="1"/>
  <c r="G85" i="1" a="1"/>
  <c r="F85" i="1" a="1"/>
  <c r="E85" i="1" a="1"/>
  <c r="E85" i="1" l="1"/>
  <c r="F85" i="1"/>
  <c r="G85" i="1"/>
  <c r="D85" i="1"/>
  <c r="K87" i="2"/>
  <c r="I88" i="2"/>
  <c r="J87" i="2"/>
  <c r="L87" i="2" s="1"/>
  <c r="B86" i="1"/>
  <c r="C85" i="1"/>
  <c r="G86" i="1" a="1"/>
  <c r="F86" i="1" a="1"/>
  <c r="E86" i="1" a="1"/>
  <c r="E86" i="1" l="1"/>
  <c r="F86" i="1"/>
  <c r="G86" i="1"/>
  <c r="D86" i="1"/>
  <c r="I89" i="2"/>
  <c r="J88" i="2"/>
  <c r="L88" i="2" s="1"/>
  <c r="K88" i="2"/>
  <c r="B87" i="1"/>
  <c r="C86" i="1"/>
  <c r="G87" i="1" a="1"/>
  <c r="F87" i="1" a="1"/>
  <c r="E87" i="1" a="1"/>
  <c r="E87" i="1" l="1"/>
  <c r="F87" i="1"/>
  <c r="G87" i="1"/>
  <c r="D87" i="1"/>
  <c r="K89" i="2"/>
  <c r="I90" i="2"/>
  <c r="J89" i="2"/>
  <c r="L89" i="2" s="1"/>
  <c r="B88" i="1"/>
  <c r="C87" i="1"/>
  <c r="G88" i="1" a="1"/>
  <c r="F88" i="1" a="1"/>
  <c r="E88" i="1" a="1"/>
  <c r="E88" i="1" l="1"/>
  <c r="F88" i="1"/>
  <c r="G88" i="1"/>
  <c r="D88" i="1"/>
  <c r="K90" i="2"/>
  <c r="I91" i="2"/>
  <c r="J90" i="2"/>
  <c r="L90" i="2" s="1"/>
  <c r="B89" i="1"/>
  <c r="C88" i="1"/>
  <c r="G89" i="1" a="1"/>
  <c r="F89" i="1" a="1"/>
  <c r="E89" i="1" a="1"/>
  <c r="E89" i="1" l="1"/>
  <c r="F89" i="1"/>
  <c r="G89" i="1"/>
  <c r="D89" i="1"/>
  <c r="I92" i="2"/>
  <c r="K91" i="2"/>
  <c r="J91" i="2"/>
  <c r="L91" i="2" s="1"/>
  <c r="B90" i="1"/>
  <c r="C89" i="1"/>
  <c r="G90" i="1" a="1"/>
  <c r="F90" i="1" a="1"/>
  <c r="E90" i="1" a="1"/>
  <c r="E90" i="1" l="1"/>
  <c r="F90" i="1"/>
  <c r="G90" i="1"/>
  <c r="D90" i="1"/>
  <c r="K92" i="2"/>
  <c r="I93" i="2"/>
  <c r="J92" i="2"/>
  <c r="L92" i="2" s="1"/>
  <c r="B91" i="1"/>
  <c r="C90" i="1"/>
  <c r="G91" i="1" a="1"/>
  <c r="F91" i="1" a="1"/>
  <c r="E91" i="1" a="1"/>
  <c r="E91" i="1" l="1"/>
  <c r="F91" i="1"/>
  <c r="G91" i="1"/>
  <c r="D91" i="1"/>
  <c r="I94" i="2"/>
  <c r="J93" i="2"/>
  <c r="L93" i="2" s="1"/>
  <c r="K93" i="2"/>
  <c r="B92" i="1"/>
  <c r="C91" i="1"/>
  <c r="G92" i="1" a="1"/>
  <c r="F92" i="1" a="1"/>
  <c r="E92" i="1" a="1"/>
  <c r="E92" i="1" l="1"/>
  <c r="F92" i="1"/>
  <c r="G92" i="1"/>
  <c r="D92" i="1"/>
  <c r="K94" i="2"/>
  <c r="I95" i="2"/>
  <c r="J94" i="2"/>
  <c r="L94" i="2" s="1"/>
  <c r="B93" i="1"/>
  <c r="C92" i="1"/>
  <c r="G93" i="1" a="1"/>
  <c r="F93" i="1" a="1"/>
  <c r="E93" i="1" a="1"/>
  <c r="E93" i="1" l="1"/>
  <c r="F93" i="1"/>
  <c r="G93" i="1"/>
  <c r="D93" i="1"/>
  <c r="I96" i="2"/>
  <c r="J95" i="2"/>
  <c r="L95" i="2" s="1"/>
  <c r="K95" i="2"/>
  <c r="B94" i="1"/>
  <c r="C93" i="1"/>
  <c r="G94" i="1" a="1"/>
  <c r="F94" i="1" a="1"/>
  <c r="E94" i="1" a="1"/>
  <c r="E94" i="1" l="1"/>
  <c r="F94" i="1"/>
  <c r="G94" i="1"/>
  <c r="D94" i="1"/>
  <c r="K96" i="2"/>
  <c r="I97" i="2"/>
  <c r="J96" i="2"/>
  <c r="L96" i="2" s="1"/>
  <c r="B95" i="1"/>
  <c r="C94" i="1"/>
  <c r="G95" i="1" a="1"/>
  <c r="F95" i="1" a="1"/>
  <c r="E95" i="1" a="1"/>
  <c r="E95" i="1" l="1"/>
  <c r="F95" i="1"/>
  <c r="G95" i="1"/>
  <c r="D95" i="1"/>
  <c r="I98" i="2"/>
  <c r="J97" i="2"/>
  <c r="L97" i="2" s="1"/>
  <c r="K97" i="2"/>
  <c r="B96" i="1"/>
  <c r="C95" i="1"/>
  <c r="G96" i="1" a="1"/>
  <c r="F96" i="1" a="1"/>
  <c r="E96" i="1" a="1"/>
  <c r="E96" i="1" l="1"/>
  <c r="F96" i="1"/>
  <c r="G96" i="1"/>
  <c r="D96" i="1"/>
  <c r="K98" i="2"/>
  <c r="I99" i="2"/>
  <c r="J98" i="2"/>
  <c r="L98" i="2" s="1"/>
  <c r="B97" i="1"/>
  <c r="C96" i="1"/>
  <c r="G97" i="1" a="1"/>
  <c r="F97" i="1" a="1"/>
  <c r="E97" i="1" a="1"/>
  <c r="E97" i="1" l="1"/>
  <c r="F97" i="1"/>
  <c r="G97" i="1"/>
  <c r="D97" i="1"/>
  <c r="I100" i="2"/>
  <c r="J99" i="2"/>
  <c r="L99" i="2" s="1"/>
  <c r="K99" i="2"/>
  <c r="B98" i="1"/>
  <c r="C97" i="1"/>
  <c r="G98" i="1" a="1"/>
  <c r="F98" i="1" a="1"/>
  <c r="E98" i="1" a="1"/>
  <c r="E98" i="1" l="1"/>
  <c r="F98" i="1"/>
  <c r="G98" i="1"/>
  <c r="D98" i="1"/>
  <c r="K100" i="2"/>
  <c r="I101" i="2"/>
  <c r="J100" i="2"/>
  <c r="L100" i="2" s="1"/>
  <c r="B99" i="1"/>
  <c r="C98" i="1"/>
  <c r="G99" i="1" a="1"/>
  <c r="F99" i="1" a="1"/>
  <c r="E99" i="1" a="1"/>
  <c r="E99" i="1" l="1"/>
  <c r="F99" i="1"/>
  <c r="G99" i="1"/>
  <c r="D99" i="1"/>
  <c r="I102" i="2"/>
  <c r="J101" i="2"/>
  <c r="L101" i="2" s="1"/>
  <c r="K101" i="2"/>
  <c r="B100" i="1"/>
  <c r="C99" i="1"/>
  <c r="G100" i="1" a="1"/>
  <c r="F100" i="1" a="1"/>
  <c r="E100" i="1" a="1"/>
  <c r="E100" i="1" l="1"/>
  <c r="F100" i="1"/>
  <c r="G100" i="1"/>
  <c r="D100" i="1"/>
  <c r="K102" i="2"/>
  <c r="J102" i="2"/>
  <c r="L102" i="2" s="1"/>
  <c r="I103" i="2"/>
  <c r="B101" i="1"/>
  <c r="C100" i="1"/>
  <c r="G101" i="1" a="1"/>
  <c r="F101" i="1" a="1"/>
  <c r="E101" i="1" a="1"/>
  <c r="E101" i="1" l="1"/>
  <c r="F101" i="1"/>
  <c r="G101" i="1"/>
  <c r="D101" i="1"/>
  <c r="I104" i="2"/>
  <c r="J103" i="2"/>
  <c r="L103" i="2" s="1"/>
  <c r="K103" i="2"/>
  <c r="B102" i="1"/>
  <c r="C101" i="1"/>
  <c r="G102" i="1" a="1"/>
  <c r="F102" i="1" a="1"/>
  <c r="E102" i="1" a="1"/>
  <c r="E102" i="1" l="1"/>
  <c r="F102" i="1"/>
  <c r="G102" i="1"/>
  <c r="D102" i="1"/>
  <c r="K104" i="2"/>
  <c r="I105" i="2"/>
  <c r="J104" i="2"/>
  <c r="L104" i="2" s="1"/>
  <c r="B103" i="1"/>
  <c r="C102" i="1"/>
  <c r="G103" i="1" a="1"/>
  <c r="F103" i="1" a="1"/>
  <c r="E103" i="1" a="1"/>
  <c r="E103" i="1" l="1"/>
  <c r="F103" i="1"/>
  <c r="G103" i="1"/>
  <c r="D103" i="1"/>
  <c r="I106" i="2"/>
  <c r="J105" i="2"/>
  <c r="L105" i="2" s="1"/>
  <c r="K105" i="2"/>
  <c r="B104" i="1"/>
  <c r="C103" i="1"/>
  <c r="G104" i="1" a="1"/>
  <c r="F104" i="1" a="1"/>
  <c r="E104" i="1" a="1"/>
  <c r="E104" i="1" l="1"/>
  <c r="F104" i="1"/>
  <c r="G104" i="1"/>
  <c r="D104" i="1"/>
  <c r="K106" i="2"/>
  <c r="J106" i="2"/>
  <c r="L106" i="2" s="1"/>
  <c r="I107" i="2"/>
  <c r="B105" i="1"/>
  <c r="C104" i="1"/>
  <c r="G105" i="1" a="1"/>
  <c r="F105" i="1" a="1"/>
  <c r="E105" i="1" a="1"/>
  <c r="E105" i="1" l="1"/>
  <c r="F105" i="1"/>
  <c r="G105" i="1"/>
  <c r="D105" i="1"/>
  <c r="I108" i="2"/>
  <c r="J107" i="2"/>
  <c r="L107" i="2" s="1"/>
  <c r="K107" i="2"/>
  <c r="B106" i="1"/>
  <c r="C105" i="1"/>
  <c r="G106" i="1" a="1"/>
  <c r="F106" i="1" a="1"/>
  <c r="E106" i="1" a="1"/>
  <c r="E106" i="1" l="1"/>
  <c r="F106" i="1"/>
  <c r="G106" i="1"/>
  <c r="D106" i="1"/>
  <c r="K108" i="2"/>
  <c r="I109" i="2"/>
  <c r="J108" i="2"/>
  <c r="L108" i="2" s="1"/>
  <c r="B107" i="1"/>
  <c r="C106" i="1"/>
  <c r="G107" i="1" a="1"/>
  <c r="F107" i="1" a="1"/>
  <c r="E107" i="1" a="1"/>
  <c r="E107" i="1" l="1"/>
  <c r="F107" i="1"/>
  <c r="G107" i="1"/>
  <c r="D107" i="1"/>
  <c r="I110" i="2"/>
  <c r="J109" i="2"/>
  <c r="L109" i="2" s="1"/>
  <c r="K109" i="2"/>
  <c r="B108" i="1"/>
  <c r="C107" i="1"/>
  <c r="G108" i="1" a="1"/>
  <c r="F108" i="1" a="1"/>
  <c r="E108" i="1" a="1"/>
  <c r="E108" i="1" l="1"/>
  <c r="F108" i="1"/>
  <c r="G108" i="1"/>
  <c r="D108" i="1"/>
  <c r="K110" i="2"/>
  <c r="I111" i="2"/>
  <c r="J110" i="2"/>
  <c r="L110" i="2" s="1"/>
  <c r="B109" i="1"/>
  <c r="C108" i="1"/>
  <c r="G109" i="1" a="1"/>
  <c r="F109" i="1" a="1"/>
  <c r="E109" i="1" a="1"/>
  <c r="E109" i="1" l="1"/>
  <c r="F109" i="1"/>
  <c r="G109" i="1"/>
  <c r="D109" i="1"/>
  <c r="I112" i="2"/>
  <c r="J111" i="2"/>
  <c r="L111" i="2" s="1"/>
  <c r="K111" i="2"/>
  <c r="B110" i="1"/>
  <c r="C109" i="1"/>
  <c r="G110" i="1" a="1"/>
  <c r="F110" i="1" a="1"/>
  <c r="E110" i="1" a="1"/>
  <c r="E110" i="1" l="1"/>
  <c r="F110" i="1"/>
  <c r="G110" i="1"/>
  <c r="D110" i="1"/>
  <c r="K112" i="2"/>
  <c r="I113" i="2"/>
  <c r="J112" i="2"/>
  <c r="L112" i="2" s="1"/>
  <c r="B111" i="1"/>
  <c r="C110" i="1"/>
  <c r="G111" i="1" a="1"/>
  <c r="F111" i="1" a="1"/>
  <c r="E111" i="1" a="1"/>
  <c r="E111" i="1" l="1"/>
  <c r="F111" i="1"/>
  <c r="G111" i="1"/>
  <c r="D111" i="1"/>
  <c r="I114" i="2"/>
  <c r="J113" i="2"/>
  <c r="L113" i="2" s="1"/>
  <c r="K113" i="2"/>
  <c r="B112" i="1"/>
  <c r="C111" i="1"/>
  <c r="G112" i="1" a="1"/>
  <c r="F112" i="1" a="1"/>
  <c r="E112" i="1" a="1"/>
  <c r="E112" i="1" l="1"/>
  <c r="F112" i="1"/>
  <c r="G112" i="1"/>
  <c r="D112" i="1"/>
  <c r="K114" i="2"/>
  <c r="I115" i="2"/>
  <c r="J114" i="2"/>
  <c r="L114" i="2" s="1"/>
  <c r="B113" i="1"/>
  <c r="C112" i="1"/>
  <c r="G113" i="1" a="1"/>
  <c r="F113" i="1" a="1"/>
  <c r="E113" i="1" a="1"/>
  <c r="E113" i="1" l="1"/>
  <c r="F113" i="1"/>
  <c r="G113" i="1"/>
  <c r="D113" i="1"/>
  <c r="I116" i="2"/>
  <c r="J115" i="2"/>
  <c r="L115" i="2" s="1"/>
  <c r="K115" i="2"/>
  <c r="B114" i="1"/>
  <c r="C113" i="1"/>
  <c r="G114" i="1" a="1"/>
  <c r="F114" i="1" a="1"/>
  <c r="E114" i="1" a="1"/>
  <c r="E114" i="1" l="1"/>
  <c r="F114" i="1"/>
  <c r="G114" i="1"/>
  <c r="D114" i="1"/>
  <c r="K116" i="2"/>
  <c r="I117" i="2"/>
  <c r="J116" i="2"/>
  <c r="L116" i="2" s="1"/>
  <c r="B115" i="1"/>
  <c r="C114" i="1"/>
  <c r="G115" i="1" a="1"/>
  <c r="F115" i="1" a="1"/>
  <c r="E115" i="1" a="1"/>
  <c r="E115" i="1" l="1"/>
  <c r="F115" i="1"/>
  <c r="G115" i="1"/>
  <c r="D115" i="1"/>
  <c r="K117" i="2"/>
  <c r="I118" i="2"/>
  <c r="J117" i="2"/>
  <c r="L117" i="2" s="1"/>
  <c r="B116" i="1"/>
  <c r="C115" i="1"/>
  <c r="G116" i="1" a="1"/>
  <c r="F116" i="1" a="1"/>
  <c r="E116" i="1" a="1"/>
  <c r="E116" i="1" l="1"/>
  <c r="F116" i="1"/>
  <c r="G116" i="1"/>
  <c r="D116" i="1"/>
  <c r="K118" i="2"/>
  <c r="I119" i="2"/>
  <c r="J118" i="2"/>
  <c r="L118" i="2" s="1"/>
  <c r="B117" i="1"/>
  <c r="C116" i="1"/>
  <c r="G117" i="1" a="1"/>
  <c r="F117" i="1" a="1"/>
  <c r="E117" i="1" a="1"/>
  <c r="E117" i="1" l="1"/>
  <c r="F117" i="1"/>
  <c r="G117" i="1"/>
  <c r="D117" i="1"/>
  <c r="I120" i="2"/>
  <c r="J119" i="2"/>
  <c r="L119" i="2" s="1"/>
  <c r="K119" i="2"/>
  <c r="B118" i="1"/>
  <c r="C117" i="1"/>
  <c r="G118" i="1" a="1"/>
  <c r="F118" i="1" a="1"/>
  <c r="E118" i="1" a="1"/>
  <c r="E118" i="1" l="1"/>
  <c r="F118" i="1"/>
  <c r="G118" i="1"/>
  <c r="D118" i="1"/>
  <c r="K120" i="2"/>
  <c r="I121" i="2"/>
  <c r="J120" i="2"/>
  <c r="L120" i="2" s="1"/>
  <c r="B119" i="1"/>
  <c r="C118" i="1"/>
  <c r="G119" i="1" a="1"/>
  <c r="F119" i="1" a="1"/>
  <c r="E119" i="1" a="1"/>
  <c r="E119" i="1" l="1"/>
  <c r="F119" i="1"/>
  <c r="G119" i="1"/>
  <c r="D119" i="1"/>
  <c r="K121" i="2"/>
  <c r="I122" i="2"/>
  <c r="J121" i="2"/>
  <c r="L121" i="2" s="1"/>
  <c r="B120" i="1"/>
  <c r="C119" i="1"/>
  <c r="G120" i="1" a="1"/>
  <c r="F120" i="1" a="1"/>
  <c r="E120" i="1" a="1"/>
  <c r="E120" i="1" l="1"/>
  <c r="F120" i="1"/>
  <c r="G120" i="1"/>
  <c r="D120" i="1"/>
  <c r="K122" i="2"/>
  <c r="I123" i="2"/>
  <c r="J122" i="2"/>
  <c r="L122" i="2" s="1"/>
  <c r="B121" i="1"/>
  <c r="C120" i="1"/>
  <c r="G121" i="1" a="1"/>
  <c r="F121" i="1" a="1"/>
  <c r="E121" i="1" a="1"/>
  <c r="E121" i="1" l="1"/>
  <c r="F121" i="1"/>
  <c r="G121" i="1"/>
  <c r="D121" i="1"/>
  <c r="I124" i="2"/>
  <c r="J123" i="2"/>
  <c r="L123" i="2" s="1"/>
  <c r="K123" i="2"/>
  <c r="B122" i="1"/>
  <c r="C121" i="1"/>
  <c r="G122" i="1" a="1"/>
  <c r="F122" i="1" a="1"/>
  <c r="E122" i="1" a="1"/>
  <c r="E122" i="1" l="1"/>
  <c r="F122" i="1"/>
  <c r="G122" i="1"/>
  <c r="D122" i="1"/>
  <c r="K124" i="2"/>
  <c r="I125" i="2"/>
  <c r="J124" i="2"/>
  <c r="L124" i="2" s="1"/>
  <c r="B123" i="1"/>
  <c r="C122" i="1"/>
  <c r="G123" i="1" a="1"/>
  <c r="F123" i="1" a="1"/>
  <c r="E123" i="1" a="1"/>
  <c r="E123" i="1" l="1"/>
  <c r="F123" i="1"/>
  <c r="G123" i="1"/>
  <c r="D123" i="1"/>
  <c r="K125" i="2"/>
  <c r="I126" i="2"/>
  <c r="J125" i="2"/>
  <c r="L125" i="2" s="1"/>
  <c r="B124" i="1"/>
  <c r="C123" i="1"/>
  <c r="G124" i="1" a="1"/>
  <c r="F124" i="1" a="1"/>
  <c r="E124" i="1" a="1"/>
  <c r="E124" i="1" l="1"/>
  <c r="F124" i="1"/>
  <c r="G124" i="1"/>
  <c r="D124" i="1"/>
  <c r="K126" i="2"/>
  <c r="I127" i="2"/>
  <c r="J126" i="2"/>
  <c r="L126" i="2" s="1"/>
  <c r="B125" i="1"/>
  <c r="C124" i="1"/>
  <c r="G125" i="1" a="1"/>
  <c r="F125" i="1" a="1"/>
  <c r="E125" i="1" a="1"/>
  <c r="E125" i="1" l="1"/>
  <c r="F125" i="1"/>
  <c r="G125" i="1"/>
  <c r="D125" i="1"/>
  <c r="I128" i="2"/>
  <c r="J127" i="2"/>
  <c r="L127" i="2" s="1"/>
  <c r="K127" i="2"/>
  <c r="B126" i="1"/>
  <c r="C125" i="1"/>
  <c r="G126" i="1" a="1"/>
  <c r="F126" i="1" a="1"/>
  <c r="E126" i="1" a="1"/>
  <c r="E126" i="1" l="1"/>
  <c r="F126" i="1"/>
  <c r="G126" i="1"/>
  <c r="D126" i="1"/>
  <c r="K128" i="2"/>
  <c r="I129" i="2"/>
  <c r="J128" i="2"/>
  <c r="L128" i="2" s="1"/>
  <c r="B127" i="1"/>
  <c r="C126" i="1"/>
  <c r="G127" i="1" a="1"/>
  <c r="F127" i="1" a="1"/>
  <c r="E127" i="1" a="1"/>
  <c r="E127" i="1" l="1"/>
  <c r="F127" i="1"/>
  <c r="G127" i="1"/>
  <c r="D127" i="1"/>
  <c r="K129" i="2"/>
  <c r="I130" i="2"/>
  <c r="J129" i="2"/>
  <c r="L129" i="2" s="1"/>
  <c r="B128" i="1"/>
  <c r="C127" i="1"/>
  <c r="G128" i="1" a="1"/>
  <c r="F128" i="1" a="1"/>
  <c r="E128" i="1" a="1"/>
  <c r="E128" i="1" l="1"/>
  <c r="F128" i="1"/>
  <c r="G128" i="1"/>
  <c r="D128" i="1"/>
  <c r="I131" i="2"/>
  <c r="K130" i="2"/>
  <c r="J130" i="2"/>
  <c r="L130" i="2" s="1"/>
  <c r="B129" i="1"/>
  <c r="C128" i="1"/>
  <c r="G129" i="1" a="1"/>
  <c r="F129" i="1" a="1"/>
  <c r="E129" i="1" a="1"/>
  <c r="E129" i="1" l="1"/>
  <c r="F129" i="1"/>
  <c r="G129" i="1"/>
  <c r="D129" i="1"/>
  <c r="K131" i="2"/>
  <c r="I132" i="2"/>
  <c r="J131" i="2"/>
  <c r="L131" i="2" s="1"/>
  <c r="B130" i="1"/>
  <c r="C129" i="1"/>
  <c r="G130" i="1" a="1"/>
  <c r="F130" i="1" a="1"/>
  <c r="E130" i="1" a="1"/>
  <c r="E130" i="1" l="1"/>
  <c r="F130" i="1"/>
  <c r="G130" i="1"/>
  <c r="D130" i="1"/>
  <c r="I133" i="2"/>
  <c r="J132" i="2"/>
  <c r="L132" i="2" s="1"/>
  <c r="K132" i="2"/>
  <c r="B131" i="1"/>
  <c r="C130" i="1"/>
  <c r="G131" i="1" a="1"/>
  <c r="F131" i="1" a="1"/>
  <c r="E131" i="1" a="1"/>
  <c r="E131" i="1" l="1"/>
  <c r="F131" i="1"/>
  <c r="G131" i="1"/>
  <c r="D131" i="1"/>
  <c r="K133" i="2"/>
  <c r="I134" i="2"/>
  <c r="J133" i="2"/>
  <c r="L133" i="2" s="1"/>
  <c r="B132" i="1"/>
  <c r="C131" i="1"/>
  <c r="G132" i="1" a="1"/>
  <c r="F132" i="1" a="1"/>
  <c r="E132" i="1" a="1"/>
  <c r="E132" i="1" l="1"/>
  <c r="F132" i="1"/>
  <c r="G132" i="1"/>
  <c r="D132" i="1"/>
  <c r="K134" i="2"/>
  <c r="I135" i="2"/>
  <c r="J134" i="2"/>
  <c r="L134" i="2" s="1"/>
  <c r="B133" i="1"/>
  <c r="C132" i="1"/>
  <c r="G133" i="1" a="1"/>
  <c r="F133" i="1" a="1"/>
  <c r="E133" i="1" a="1"/>
  <c r="E133" i="1" l="1"/>
  <c r="F133" i="1"/>
  <c r="G133" i="1"/>
  <c r="D133" i="1"/>
  <c r="K135" i="2"/>
  <c r="I136" i="2"/>
  <c r="J135" i="2"/>
  <c r="L135" i="2" s="1"/>
  <c r="B134" i="1"/>
  <c r="C133" i="1"/>
  <c r="G134" i="1" a="1"/>
  <c r="F134" i="1" a="1"/>
  <c r="E134" i="1" a="1"/>
  <c r="E134" i="1" l="1"/>
  <c r="F134" i="1"/>
  <c r="G134" i="1"/>
  <c r="D134" i="1"/>
  <c r="I137" i="2"/>
  <c r="J136" i="2"/>
  <c r="L136" i="2" s="1"/>
  <c r="K136" i="2"/>
  <c r="B135" i="1"/>
  <c r="C134" i="1"/>
  <c r="G135" i="1" a="1"/>
  <c r="F135" i="1" a="1"/>
  <c r="E135" i="1" a="1"/>
  <c r="E135" i="1" l="1"/>
  <c r="F135" i="1"/>
  <c r="G135" i="1"/>
  <c r="D135" i="1"/>
  <c r="K137" i="2"/>
  <c r="I138" i="2"/>
  <c r="J137" i="2"/>
  <c r="L137" i="2" s="1"/>
  <c r="B136" i="1"/>
  <c r="C135" i="1"/>
  <c r="G136" i="1" a="1"/>
  <c r="F136" i="1" a="1"/>
  <c r="E136" i="1" a="1"/>
  <c r="E136" i="1" l="1"/>
  <c r="F136" i="1"/>
  <c r="G136" i="1"/>
  <c r="D136" i="1"/>
  <c r="K138" i="2"/>
  <c r="I139" i="2"/>
  <c r="J138" i="2"/>
  <c r="L138" i="2" s="1"/>
  <c r="B137" i="1"/>
  <c r="C136" i="1"/>
  <c r="G137" i="1" a="1"/>
  <c r="F137" i="1" a="1"/>
  <c r="E137" i="1" a="1"/>
  <c r="E137" i="1" l="1"/>
  <c r="F137" i="1"/>
  <c r="G137" i="1"/>
  <c r="D137" i="1"/>
  <c r="K139" i="2"/>
  <c r="I140" i="2"/>
  <c r="J139" i="2"/>
  <c r="L139" i="2" s="1"/>
  <c r="B138" i="1"/>
  <c r="C137" i="1"/>
  <c r="G138" i="1" a="1"/>
  <c r="F138" i="1" a="1"/>
  <c r="E138" i="1" a="1"/>
  <c r="E138" i="1" l="1"/>
  <c r="F138" i="1"/>
  <c r="G138" i="1"/>
  <c r="D138" i="1"/>
  <c r="I141" i="2"/>
  <c r="J140" i="2"/>
  <c r="L140" i="2" s="1"/>
  <c r="K140" i="2"/>
  <c r="B139" i="1"/>
  <c r="C138" i="1"/>
  <c r="G139" i="1" a="1"/>
  <c r="F139" i="1" a="1"/>
  <c r="E139" i="1" a="1"/>
  <c r="E139" i="1" l="1"/>
  <c r="F139" i="1"/>
  <c r="G139" i="1"/>
  <c r="D139" i="1"/>
  <c r="K141" i="2"/>
  <c r="I142" i="2"/>
  <c r="J141" i="2"/>
  <c r="L141" i="2" s="1"/>
  <c r="B140" i="1"/>
  <c r="C139" i="1"/>
  <c r="G140" i="1" a="1"/>
  <c r="F140" i="1" a="1"/>
  <c r="E140" i="1" a="1"/>
  <c r="E140" i="1" l="1"/>
  <c r="F140" i="1"/>
  <c r="G140" i="1"/>
  <c r="D140" i="1"/>
  <c r="K142" i="2"/>
  <c r="I143" i="2"/>
  <c r="J142" i="2"/>
  <c r="L142" i="2" s="1"/>
  <c r="B141" i="1"/>
  <c r="C140" i="1"/>
  <c r="G141" i="1" a="1"/>
  <c r="F141" i="1" a="1"/>
  <c r="E141" i="1" a="1"/>
  <c r="E141" i="1" l="1"/>
  <c r="F141" i="1"/>
  <c r="G141" i="1"/>
  <c r="D141" i="1"/>
  <c r="K143" i="2"/>
  <c r="I144" i="2"/>
  <c r="J143" i="2"/>
  <c r="L143" i="2" s="1"/>
  <c r="B142" i="1"/>
  <c r="C141" i="1"/>
  <c r="G142" i="1" a="1"/>
  <c r="F142" i="1" a="1"/>
  <c r="E142" i="1" a="1"/>
  <c r="E142" i="1" l="1"/>
  <c r="F142" i="1"/>
  <c r="G142" i="1"/>
  <c r="D142" i="1"/>
  <c r="I145" i="2"/>
  <c r="J144" i="2"/>
  <c r="L144" i="2" s="1"/>
  <c r="K144" i="2"/>
  <c r="B143" i="1"/>
  <c r="C142" i="1"/>
  <c r="G143" i="1" a="1"/>
  <c r="F143" i="1" a="1"/>
  <c r="E143" i="1" a="1"/>
  <c r="E143" i="1" l="1"/>
  <c r="F143" i="1"/>
  <c r="G143" i="1"/>
  <c r="D143" i="1"/>
  <c r="K145" i="2"/>
  <c r="I146" i="2"/>
  <c r="J145" i="2"/>
  <c r="L145" i="2" s="1"/>
  <c r="B144" i="1"/>
  <c r="C143" i="1"/>
  <c r="G144" i="1" a="1"/>
  <c r="F144" i="1" a="1"/>
  <c r="E144" i="1" a="1"/>
  <c r="E144" i="1" l="1"/>
  <c r="F144" i="1"/>
  <c r="G144" i="1"/>
  <c r="D144" i="1"/>
  <c r="K146" i="2"/>
  <c r="J146" i="2"/>
  <c r="L146" i="2" s="1"/>
  <c r="L4" i="2" s="1"/>
  <c r="B145" i="1"/>
  <c r="C144" i="1"/>
  <c r="G145" i="1" a="1"/>
  <c r="F145" i="1" a="1"/>
  <c r="E145" i="1" a="1"/>
  <c r="E145" i="1" l="1"/>
  <c r="F145" i="1"/>
  <c r="G145" i="1"/>
  <c r="D145" i="1"/>
  <c r="B146" i="1"/>
  <c r="C145" i="1"/>
  <c r="G146" i="1" a="1"/>
  <c r="F146" i="1" a="1"/>
  <c r="E146" i="1" a="1"/>
  <c r="E146" i="1" l="1"/>
  <c r="F146" i="1"/>
  <c r="G146" i="1"/>
  <c r="D146" i="1"/>
  <c r="B147" i="1"/>
  <c r="C146" i="1"/>
  <c r="G147" i="1" a="1"/>
  <c r="F147" i="1" a="1"/>
  <c r="E147" i="1" a="1"/>
  <c r="E147" i="1" l="1"/>
  <c r="F147" i="1"/>
  <c r="G147" i="1"/>
  <c r="D147" i="1"/>
  <c r="B148" i="1"/>
  <c r="C147" i="1"/>
  <c r="G148" i="1" a="1"/>
  <c r="F148" i="1" a="1"/>
  <c r="E148" i="1" a="1"/>
  <c r="E148" i="1" l="1"/>
  <c r="F148" i="1"/>
  <c r="G148" i="1"/>
  <c r="D148" i="1"/>
  <c r="B149" i="1"/>
  <c r="C148" i="1"/>
  <c r="G149" i="1" a="1"/>
  <c r="F149" i="1" a="1"/>
  <c r="E149" i="1" a="1"/>
  <c r="E149" i="1" l="1"/>
  <c r="F149" i="1"/>
  <c r="G149" i="1"/>
  <c r="D149" i="1"/>
  <c r="B150" i="1"/>
  <c r="C149" i="1"/>
  <c r="G150" i="1" a="1"/>
  <c r="F150" i="1" a="1"/>
  <c r="E150" i="1" a="1"/>
  <c r="E150" i="1" l="1"/>
  <c r="F150" i="1"/>
  <c r="G150" i="1"/>
  <c r="D150" i="1"/>
  <c r="B151" i="1"/>
  <c r="C150" i="1"/>
  <c r="G151" i="1" a="1"/>
  <c r="F151" i="1" a="1"/>
  <c r="E151" i="1" a="1"/>
  <c r="E151" i="1" l="1"/>
  <c r="F151" i="1"/>
  <c r="G151" i="1"/>
  <c r="D151" i="1"/>
  <c r="B152" i="1"/>
  <c r="C151" i="1"/>
  <c r="G152" i="1" a="1"/>
  <c r="F152" i="1" a="1"/>
  <c r="E152" i="1" a="1"/>
  <c r="E152" i="1" l="1"/>
  <c r="F152" i="1"/>
  <c r="G152" i="1"/>
  <c r="D152" i="1"/>
  <c r="B153" i="1"/>
  <c r="C152" i="1"/>
  <c r="G153" i="1" a="1"/>
  <c r="F153" i="1" a="1"/>
  <c r="E153" i="1" a="1"/>
  <c r="E153" i="1" l="1"/>
  <c r="F153" i="1"/>
  <c r="G153" i="1"/>
  <c r="D153" i="1"/>
  <c r="B154" i="1"/>
  <c r="C153" i="1"/>
  <c r="G154" i="1" a="1"/>
  <c r="F154" i="1" a="1"/>
  <c r="E154" i="1" a="1"/>
  <c r="E154" i="1" l="1"/>
  <c r="F154" i="1"/>
  <c r="G154" i="1"/>
  <c r="D154" i="1"/>
  <c r="B155" i="1"/>
  <c r="C154" i="1"/>
  <c r="G155" i="1" a="1"/>
  <c r="F155" i="1" a="1"/>
  <c r="E155" i="1" a="1"/>
  <c r="E155" i="1" l="1"/>
  <c r="F155" i="1"/>
  <c r="G155" i="1"/>
  <c r="D155" i="1"/>
  <c r="B156" i="1"/>
  <c r="C155" i="1"/>
  <c r="G156" i="1" a="1"/>
  <c r="F156" i="1" a="1"/>
  <c r="E156" i="1" a="1"/>
  <c r="E156" i="1" l="1"/>
  <c r="F156" i="1"/>
  <c r="G156" i="1"/>
  <c r="D156" i="1"/>
  <c r="B157" i="1"/>
  <c r="C156" i="1"/>
  <c r="G157" i="1" a="1"/>
  <c r="F157" i="1" a="1"/>
  <c r="E157" i="1" a="1"/>
  <c r="E157" i="1" l="1"/>
  <c r="F157" i="1"/>
  <c r="G157" i="1"/>
  <c r="D157" i="1"/>
  <c r="B158" i="1"/>
  <c r="C157" i="1"/>
  <c r="G158" i="1" a="1"/>
  <c r="F158" i="1" a="1"/>
  <c r="E158" i="1" a="1"/>
  <c r="E158" i="1" l="1"/>
  <c r="F158" i="1"/>
  <c r="G158" i="1"/>
  <c r="D158" i="1"/>
  <c r="B159" i="1"/>
  <c r="C158" i="1"/>
  <c r="G159" i="1" a="1"/>
  <c r="F159" i="1" a="1"/>
  <c r="E159" i="1" a="1"/>
  <c r="E159" i="1" l="1"/>
  <c r="F159" i="1"/>
  <c r="G159" i="1"/>
  <c r="D159" i="1"/>
  <c r="B160" i="1"/>
  <c r="C159" i="1"/>
  <c r="G160" i="1" a="1"/>
  <c r="F160" i="1" a="1"/>
  <c r="E160" i="1" a="1"/>
  <c r="E160" i="1" l="1"/>
  <c r="F160" i="1"/>
  <c r="G160" i="1"/>
  <c r="D160" i="1"/>
  <c r="B161" i="1"/>
  <c r="C160" i="1"/>
  <c r="G161" i="1" a="1"/>
  <c r="F161" i="1" a="1"/>
  <c r="E161" i="1" a="1"/>
  <c r="E161" i="1" l="1"/>
  <c r="F161" i="1"/>
  <c r="G161" i="1"/>
  <c r="D161" i="1"/>
  <c r="B162" i="1"/>
  <c r="C161" i="1"/>
  <c r="G162" i="1" a="1"/>
  <c r="F162" i="1" a="1"/>
  <c r="E162" i="1" a="1"/>
  <c r="E162" i="1" l="1"/>
  <c r="F162" i="1"/>
  <c r="G162" i="1"/>
  <c r="D162" i="1"/>
  <c r="B163" i="1"/>
  <c r="C162" i="1"/>
  <c r="G163" i="1" a="1"/>
  <c r="F163" i="1" a="1"/>
  <c r="E163" i="1" a="1"/>
  <c r="E163" i="1" l="1"/>
  <c r="F163" i="1"/>
  <c r="G163" i="1"/>
  <c r="D163" i="1"/>
  <c r="B164" i="1"/>
  <c r="C163" i="1"/>
  <c r="G164" i="1" a="1"/>
  <c r="F164" i="1" a="1"/>
  <c r="E164" i="1" a="1"/>
  <c r="E164" i="1" l="1"/>
  <c r="F164" i="1"/>
  <c r="G164" i="1"/>
  <c r="D164" i="1"/>
  <c r="B165" i="1"/>
  <c r="C164" i="1"/>
  <c r="G165" i="1" a="1"/>
  <c r="F165" i="1" a="1"/>
  <c r="E165" i="1" a="1"/>
  <c r="E165" i="1" l="1"/>
  <c r="F165" i="1"/>
  <c r="G165" i="1"/>
  <c r="D165" i="1"/>
  <c r="B166" i="1"/>
  <c r="C165" i="1"/>
  <c r="G166" i="1" a="1"/>
  <c r="F166" i="1" a="1"/>
  <c r="E166" i="1" a="1"/>
  <c r="E166" i="1" l="1"/>
  <c r="F166" i="1"/>
  <c r="G166" i="1"/>
  <c r="D166" i="1"/>
  <c r="B167" i="1"/>
  <c r="C166" i="1"/>
  <c r="G167" i="1" a="1"/>
  <c r="F167" i="1" a="1"/>
  <c r="E167" i="1" a="1"/>
  <c r="E167" i="1" l="1"/>
  <c r="F167" i="1"/>
  <c r="G167" i="1"/>
  <c r="D167" i="1"/>
  <c r="B168" i="1"/>
  <c r="C167" i="1"/>
  <c r="G168" i="1" a="1"/>
  <c r="F168" i="1" a="1"/>
  <c r="E168" i="1" a="1"/>
  <c r="E168" i="1" l="1"/>
  <c r="F168" i="1"/>
  <c r="G168" i="1"/>
  <c r="D168" i="1"/>
  <c r="B169" i="1"/>
  <c r="C168" i="1"/>
  <c r="G169" i="1" a="1"/>
  <c r="F169" i="1" a="1"/>
  <c r="E169" i="1" a="1"/>
  <c r="E169" i="1" l="1"/>
  <c r="F169" i="1"/>
  <c r="G169" i="1"/>
  <c r="D169" i="1"/>
  <c r="B170" i="1"/>
  <c r="C169" i="1"/>
  <c r="G170" i="1" a="1"/>
  <c r="F170" i="1" a="1"/>
  <c r="E170" i="1" a="1"/>
  <c r="E170" i="1" l="1"/>
  <c r="F170" i="1"/>
  <c r="G170" i="1"/>
  <c r="D170" i="1"/>
  <c r="B171" i="1"/>
  <c r="C170" i="1"/>
  <c r="G171" i="1" a="1"/>
  <c r="F171" i="1" a="1"/>
  <c r="E171" i="1" a="1"/>
  <c r="E171" i="1" l="1"/>
  <c r="F171" i="1"/>
  <c r="G171" i="1"/>
  <c r="D171" i="1"/>
  <c r="B172" i="1"/>
  <c r="C171" i="1"/>
  <c r="G172" i="1" a="1"/>
  <c r="F172" i="1" a="1"/>
  <c r="E172" i="1" a="1"/>
  <c r="E172" i="1" l="1"/>
  <c r="F172" i="1"/>
  <c r="G172" i="1"/>
  <c r="D172" i="1"/>
  <c r="B173" i="1"/>
  <c r="C172" i="1"/>
  <c r="G173" i="1" a="1"/>
  <c r="F173" i="1" a="1"/>
  <c r="E173" i="1" a="1"/>
  <c r="E173" i="1" l="1"/>
  <c r="F173" i="1"/>
  <c r="G173" i="1"/>
  <c r="D173" i="1"/>
  <c r="B174" i="1"/>
  <c r="C173" i="1"/>
  <c r="G174" i="1" a="1"/>
  <c r="F174" i="1" a="1"/>
  <c r="E174" i="1" a="1"/>
  <c r="E174" i="1" l="1"/>
  <c r="F174" i="1"/>
  <c r="G174" i="1"/>
  <c r="D174" i="1"/>
  <c r="B175" i="1"/>
  <c r="C174" i="1"/>
  <c r="G175" i="1" a="1"/>
  <c r="F175" i="1" a="1"/>
  <c r="E175" i="1" a="1"/>
  <c r="E175" i="1" l="1"/>
  <c r="F175" i="1"/>
  <c r="G175" i="1"/>
  <c r="D175" i="1"/>
  <c r="B176" i="1"/>
  <c r="C175" i="1"/>
  <c r="G176" i="1" a="1"/>
  <c r="F176" i="1" a="1"/>
  <c r="E176" i="1" a="1"/>
  <c r="E176" i="1" l="1"/>
  <c r="F176" i="1"/>
  <c r="G176" i="1"/>
  <c r="D176" i="1"/>
  <c r="B177" i="1"/>
  <c r="C176" i="1"/>
  <c r="G177" i="1" a="1"/>
  <c r="F177" i="1" a="1"/>
  <c r="E177" i="1" a="1"/>
  <c r="E177" i="1" l="1"/>
  <c r="F177" i="1"/>
  <c r="G177" i="1"/>
  <c r="D177" i="1"/>
  <c r="B178" i="1"/>
  <c r="C177" i="1"/>
  <c r="G178" i="1" a="1"/>
  <c r="F178" i="1" a="1"/>
  <c r="E178" i="1" a="1"/>
  <c r="E178" i="1" l="1"/>
  <c r="F178" i="1"/>
  <c r="G178" i="1"/>
  <c r="D178" i="1"/>
  <c r="B179" i="1"/>
  <c r="C178" i="1"/>
  <c r="G179" i="1" a="1"/>
  <c r="F179" i="1" a="1"/>
  <c r="E179" i="1" a="1"/>
  <c r="E179" i="1" l="1"/>
  <c r="F179" i="1"/>
  <c r="G179" i="1"/>
  <c r="D179" i="1"/>
  <c r="B180" i="1"/>
  <c r="C179" i="1"/>
  <c r="G180" i="1" a="1"/>
  <c r="F180" i="1" a="1"/>
  <c r="E180" i="1" a="1"/>
  <c r="E180" i="1" l="1"/>
  <c r="F180" i="1"/>
  <c r="G180" i="1"/>
  <c r="D180" i="1"/>
  <c r="B181" i="1"/>
  <c r="C180" i="1"/>
  <c r="G181" i="1" a="1"/>
  <c r="F181" i="1" a="1"/>
  <c r="E181" i="1" a="1"/>
  <c r="E181" i="1" l="1"/>
  <c r="F181" i="1"/>
  <c r="G181" i="1"/>
  <c r="D181" i="1"/>
  <c r="B182" i="1"/>
  <c r="C181" i="1"/>
  <c r="G182" i="1" a="1"/>
  <c r="F182" i="1" a="1"/>
  <c r="E182" i="1" a="1"/>
  <c r="E182" i="1" l="1"/>
  <c r="F182" i="1"/>
  <c r="G182" i="1"/>
  <c r="D182" i="1"/>
  <c r="B183" i="1"/>
  <c r="C182" i="1"/>
  <c r="G183" i="1" a="1"/>
  <c r="F183" i="1" a="1"/>
  <c r="E183" i="1" a="1"/>
  <c r="E183" i="1" l="1"/>
  <c r="F183" i="1"/>
  <c r="G183" i="1"/>
  <c r="D183" i="1"/>
  <c r="B184" i="1"/>
  <c r="C183" i="1"/>
  <c r="G184" i="1" a="1"/>
  <c r="F184" i="1" a="1"/>
  <c r="E184" i="1" a="1"/>
  <c r="E184" i="1" l="1"/>
  <c r="F184" i="1"/>
  <c r="G184" i="1"/>
  <c r="D184" i="1"/>
  <c r="B185" i="1"/>
  <c r="C184" i="1"/>
  <c r="G185" i="1" a="1"/>
  <c r="F185" i="1" a="1"/>
  <c r="E185" i="1" a="1"/>
  <c r="E185" i="1" l="1"/>
  <c r="F185" i="1"/>
  <c r="G185" i="1"/>
  <c r="D185" i="1"/>
  <c r="B186" i="1"/>
  <c r="C185" i="1"/>
  <c r="G186" i="1" a="1"/>
  <c r="F186" i="1" a="1"/>
  <c r="E186" i="1" a="1"/>
  <c r="E186" i="1" l="1"/>
  <c r="F186" i="1"/>
  <c r="G186" i="1"/>
  <c r="D186" i="1"/>
  <c r="B187" i="1"/>
  <c r="C186" i="1"/>
  <c r="G187" i="1" a="1"/>
  <c r="F187" i="1" a="1"/>
  <c r="E187" i="1" a="1"/>
  <c r="E187" i="1" l="1"/>
  <c r="F187" i="1"/>
  <c r="G187" i="1"/>
  <c r="D187" i="1"/>
  <c r="B188" i="1"/>
  <c r="C187" i="1"/>
  <c r="G188" i="1" a="1"/>
  <c r="F188" i="1" a="1"/>
  <c r="E188" i="1" a="1"/>
  <c r="E188" i="1" l="1"/>
  <c r="F188" i="1"/>
  <c r="G188" i="1"/>
  <c r="D188" i="1"/>
  <c r="B189" i="1"/>
  <c r="C188" i="1"/>
  <c r="G189" i="1" a="1"/>
  <c r="F189" i="1" a="1"/>
  <c r="E189" i="1" a="1"/>
  <c r="E189" i="1" l="1"/>
  <c r="F189" i="1"/>
  <c r="G189" i="1"/>
  <c r="D189" i="1"/>
  <c r="B190" i="1"/>
  <c r="C189" i="1"/>
  <c r="G190" i="1" a="1"/>
  <c r="F190" i="1" a="1"/>
  <c r="E190" i="1" a="1"/>
  <c r="E190" i="1" l="1"/>
  <c r="F190" i="1"/>
  <c r="G190" i="1"/>
  <c r="D190" i="1"/>
  <c r="B191" i="1"/>
  <c r="C190" i="1"/>
  <c r="G191" i="1" a="1"/>
  <c r="F191" i="1" a="1"/>
  <c r="E191" i="1" a="1"/>
  <c r="E191" i="1" l="1"/>
  <c r="F191" i="1"/>
  <c r="G191" i="1"/>
  <c r="D191" i="1"/>
  <c r="B192" i="1"/>
  <c r="C191" i="1"/>
  <c r="G192" i="1" a="1"/>
  <c r="F192" i="1" a="1"/>
  <c r="E192" i="1" a="1"/>
  <c r="E192" i="1" l="1"/>
  <c r="F192" i="1"/>
  <c r="G192" i="1"/>
  <c r="D192" i="1"/>
  <c r="B193" i="1"/>
  <c r="C192" i="1"/>
  <c r="G193" i="1" a="1"/>
  <c r="F193" i="1" a="1"/>
  <c r="E193" i="1" a="1"/>
  <c r="E193" i="1" l="1"/>
  <c r="F193" i="1"/>
  <c r="G193" i="1"/>
  <c r="D193" i="1"/>
  <c r="B194" i="1"/>
  <c r="C193" i="1"/>
  <c r="G194" i="1" a="1"/>
  <c r="F194" i="1" a="1"/>
  <c r="E194" i="1" a="1"/>
  <c r="E194" i="1" l="1"/>
  <c r="F194" i="1"/>
  <c r="G194" i="1"/>
  <c r="D194" i="1"/>
  <c r="B195" i="1"/>
  <c r="C194" i="1"/>
  <c r="G195" i="1" a="1"/>
  <c r="F195" i="1" a="1"/>
  <c r="E195" i="1" a="1"/>
  <c r="E195" i="1" l="1"/>
  <c r="F195" i="1"/>
  <c r="G195" i="1"/>
  <c r="D195" i="1"/>
  <c r="B196" i="1"/>
  <c r="C195" i="1"/>
  <c r="G196" i="1" a="1"/>
  <c r="F196" i="1" a="1"/>
  <c r="E196" i="1" a="1"/>
  <c r="E196" i="1" l="1"/>
  <c r="F196" i="1"/>
  <c r="G196" i="1"/>
  <c r="D196" i="1"/>
  <c r="B197" i="1"/>
  <c r="C196" i="1"/>
  <c r="G197" i="1" a="1"/>
  <c r="F197" i="1" a="1"/>
  <c r="E197" i="1" a="1"/>
  <c r="E197" i="1" l="1"/>
  <c r="F197" i="1"/>
  <c r="G197" i="1"/>
  <c r="D197" i="1"/>
  <c r="B198" i="1"/>
  <c r="C197" i="1"/>
  <c r="G198" i="1" a="1"/>
  <c r="F198" i="1" a="1"/>
  <c r="E198" i="1" a="1"/>
  <c r="E198" i="1" l="1"/>
  <c r="F198" i="1"/>
  <c r="G198" i="1"/>
  <c r="D198" i="1"/>
  <c r="B199" i="1"/>
  <c r="C198" i="1"/>
  <c r="G199" i="1" a="1"/>
  <c r="F199" i="1" a="1"/>
  <c r="E199" i="1" a="1"/>
  <c r="E199" i="1" l="1"/>
  <c r="F199" i="1"/>
  <c r="G199" i="1"/>
  <c r="D199" i="1"/>
  <c r="B200" i="1"/>
  <c r="C199" i="1"/>
  <c r="G200" i="1" a="1"/>
  <c r="F200" i="1" a="1"/>
  <c r="E200" i="1" a="1"/>
  <c r="E200" i="1" l="1"/>
  <c r="F200" i="1"/>
  <c r="G200" i="1"/>
  <c r="D200" i="1"/>
  <c r="B201" i="1"/>
  <c r="C200" i="1"/>
  <c r="G201" i="1" a="1"/>
  <c r="F201" i="1" a="1"/>
  <c r="E201" i="1" a="1"/>
  <c r="E201" i="1" l="1"/>
  <c r="F201" i="1"/>
  <c r="G201" i="1"/>
  <c r="D201" i="1"/>
  <c r="B202" i="1"/>
  <c r="C201" i="1"/>
  <c r="G202" i="1" a="1"/>
  <c r="F202" i="1" a="1"/>
  <c r="E202" i="1" a="1"/>
  <c r="E202" i="1" l="1"/>
  <c r="F202" i="1"/>
  <c r="G202" i="1"/>
  <c r="D202" i="1"/>
  <c r="B203" i="1"/>
  <c r="C202" i="1"/>
  <c r="G203" i="1" a="1"/>
  <c r="F203" i="1" a="1"/>
  <c r="E203" i="1" a="1"/>
  <c r="E203" i="1" l="1"/>
  <c r="F203" i="1"/>
  <c r="G203" i="1"/>
  <c r="D203" i="1"/>
  <c r="B204" i="1"/>
  <c r="C203" i="1"/>
  <c r="G204" i="1" a="1"/>
  <c r="F204" i="1" a="1"/>
  <c r="E204" i="1" a="1"/>
  <c r="E204" i="1" l="1"/>
  <c r="F204" i="1"/>
  <c r="G204" i="1"/>
  <c r="D204" i="1"/>
  <c r="B205" i="1"/>
  <c r="C204" i="1"/>
  <c r="G205" i="1" a="1"/>
  <c r="F205" i="1" a="1"/>
  <c r="E205" i="1" a="1"/>
  <c r="E205" i="1" l="1"/>
  <c r="F205" i="1"/>
  <c r="G205" i="1"/>
  <c r="D205" i="1"/>
  <c r="B206" i="1"/>
  <c r="C205" i="1"/>
  <c r="G206" i="1" a="1"/>
  <c r="F206" i="1" a="1"/>
  <c r="E206" i="1" a="1"/>
  <c r="E206" i="1" l="1"/>
  <c r="F206" i="1"/>
  <c r="G206" i="1"/>
  <c r="D206" i="1"/>
  <c r="B207" i="1"/>
  <c r="C206" i="1"/>
  <c r="G207" i="1" a="1"/>
  <c r="F207" i="1" a="1"/>
  <c r="E207" i="1" a="1"/>
  <c r="E207" i="1" l="1"/>
  <c r="F207" i="1"/>
  <c r="G207" i="1"/>
  <c r="D207" i="1"/>
  <c r="B208" i="1"/>
  <c r="C207" i="1"/>
  <c r="G208" i="1" a="1"/>
  <c r="F208" i="1" a="1"/>
  <c r="E208" i="1" a="1"/>
  <c r="E208" i="1" l="1"/>
  <c r="F208" i="1"/>
  <c r="G208" i="1"/>
  <c r="D208" i="1"/>
  <c r="B209" i="1"/>
  <c r="C208" i="1"/>
  <c r="G209" i="1" a="1"/>
  <c r="F209" i="1" a="1"/>
  <c r="E209" i="1" a="1"/>
  <c r="E209" i="1" l="1"/>
  <c r="F209" i="1"/>
  <c r="G209" i="1"/>
  <c r="D209" i="1"/>
  <c r="B210" i="1"/>
  <c r="C209" i="1"/>
  <c r="G210" i="1" a="1"/>
  <c r="F210" i="1" a="1"/>
  <c r="E210" i="1" a="1"/>
  <c r="E210" i="1" l="1"/>
  <c r="F210" i="1"/>
  <c r="G210" i="1"/>
  <c r="D210" i="1"/>
  <c r="B211" i="1"/>
  <c r="C210" i="1"/>
  <c r="G211" i="1" a="1"/>
  <c r="F211" i="1" a="1"/>
  <c r="E211" i="1" a="1"/>
  <c r="E211" i="1" l="1"/>
  <c r="F211" i="1"/>
  <c r="G211" i="1"/>
  <c r="D211" i="1"/>
  <c r="B212" i="1"/>
  <c r="C211" i="1"/>
  <c r="G212" i="1" a="1"/>
  <c r="F212" i="1" a="1"/>
  <c r="E212" i="1" a="1"/>
  <c r="E212" i="1" l="1"/>
  <c r="F212" i="1"/>
  <c r="G212" i="1"/>
  <c r="D212" i="1"/>
  <c r="B213" i="1"/>
  <c r="C212" i="1"/>
  <c r="G213" i="1" a="1"/>
  <c r="F213" i="1" a="1"/>
  <c r="E213" i="1" a="1"/>
  <c r="E213" i="1" l="1"/>
  <c r="F213" i="1"/>
  <c r="G213" i="1"/>
  <c r="D213" i="1"/>
  <c r="B214" i="1"/>
  <c r="C213" i="1"/>
  <c r="G214" i="1" a="1"/>
  <c r="F214" i="1" a="1"/>
  <c r="E214" i="1" a="1"/>
  <c r="E214" i="1" l="1"/>
  <c r="F214" i="1"/>
  <c r="G214" i="1"/>
  <c r="D214" i="1"/>
  <c r="B215" i="1"/>
  <c r="C214" i="1"/>
  <c r="G215" i="1" a="1"/>
  <c r="F215" i="1" a="1"/>
  <c r="E215" i="1" a="1"/>
  <c r="E215" i="1" l="1"/>
  <c r="F215" i="1"/>
  <c r="G215" i="1"/>
  <c r="D215" i="1"/>
  <c r="B216" i="1"/>
  <c r="C215" i="1"/>
  <c r="G216" i="1" a="1"/>
  <c r="F216" i="1" a="1"/>
  <c r="E216" i="1" a="1"/>
  <c r="E216" i="1" l="1"/>
  <c r="F216" i="1"/>
  <c r="G216" i="1"/>
  <c r="D216" i="1"/>
  <c r="B217" i="1"/>
  <c r="C216" i="1"/>
  <c r="G217" i="1" a="1"/>
  <c r="F217" i="1" a="1"/>
  <c r="E217" i="1" a="1"/>
  <c r="E217" i="1" l="1"/>
  <c r="F217" i="1"/>
  <c r="G217" i="1"/>
  <c r="D217" i="1"/>
  <c r="B218" i="1"/>
  <c r="C217" i="1"/>
  <c r="G218" i="1" a="1"/>
  <c r="F218" i="1" a="1"/>
  <c r="E218" i="1" a="1"/>
  <c r="E218" i="1" l="1"/>
  <c r="F218" i="1"/>
  <c r="G218" i="1"/>
  <c r="D218" i="1"/>
  <c r="B219" i="1"/>
  <c r="C218" i="1"/>
  <c r="G219" i="1" a="1"/>
  <c r="F219" i="1" a="1"/>
  <c r="E219" i="1" a="1"/>
  <c r="E219" i="1" l="1"/>
  <c r="F219" i="1"/>
  <c r="G219" i="1"/>
  <c r="D219" i="1"/>
  <c r="B220" i="1"/>
  <c r="C219" i="1"/>
  <c r="G220" i="1" a="1"/>
  <c r="F220" i="1" a="1"/>
  <c r="E220" i="1" a="1"/>
  <c r="E220" i="1" l="1"/>
  <c r="F220" i="1"/>
  <c r="G220" i="1"/>
  <c r="D220" i="1"/>
  <c r="B221" i="1"/>
  <c r="C220" i="1"/>
  <c r="G221" i="1" a="1"/>
  <c r="F221" i="1" a="1"/>
  <c r="E221" i="1" a="1"/>
  <c r="E221" i="1" l="1"/>
  <c r="F221" i="1"/>
  <c r="G221" i="1"/>
  <c r="D221" i="1"/>
  <c r="B222" i="1"/>
  <c r="C221" i="1"/>
  <c r="G222" i="1" a="1"/>
  <c r="F222" i="1" a="1"/>
  <c r="E222" i="1" a="1"/>
  <c r="E222" i="1" l="1"/>
  <c r="F222" i="1"/>
  <c r="G222" i="1"/>
  <c r="D222" i="1"/>
  <c r="B223" i="1"/>
  <c r="C222" i="1"/>
  <c r="G223" i="1" a="1"/>
  <c r="F223" i="1" a="1"/>
  <c r="E223" i="1" a="1"/>
  <c r="E223" i="1" l="1"/>
  <c r="F223" i="1"/>
  <c r="G223" i="1"/>
  <c r="D223" i="1"/>
  <c r="B224" i="1"/>
  <c r="C223" i="1"/>
  <c r="G224" i="1" a="1"/>
  <c r="F224" i="1" a="1"/>
  <c r="E224" i="1" a="1"/>
  <c r="E224" i="1" l="1"/>
  <c r="F224" i="1"/>
  <c r="G224" i="1"/>
  <c r="D224" i="1"/>
  <c r="B225" i="1"/>
  <c r="C224" i="1"/>
  <c r="G225" i="1" a="1"/>
  <c r="F225" i="1" a="1"/>
  <c r="E225" i="1" a="1"/>
  <c r="E225" i="1" l="1"/>
  <c r="F225" i="1"/>
  <c r="G225" i="1"/>
  <c r="D225" i="1"/>
  <c r="B226" i="1"/>
  <c r="C225" i="1"/>
  <c r="G226" i="1" a="1"/>
  <c r="F226" i="1" a="1"/>
  <c r="E226" i="1" a="1"/>
  <c r="E226" i="1" l="1"/>
  <c r="F226" i="1"/>
  <c r="G226" i="1"/>
  <c r="D226" i="1"/>
  <c r="B227" i="1"/>
  <c r="C226" i="1"/>
  <c r="G227" i="1" a="1"/>
  <c r="F227" i="1" a="1"/>
  <c r="E227" i="1" a="1"/>
  <c r="E227" i="1" l="1"/>
  <c r="F227" i="1"/>
  <c r="G227" i="1"/>
  <c r="D227" i="1"/>
  <c r="B228" i="1"/>
  <c r="C227" i="1"/>
  <c r="G228" i="1" a="1"/>
  <c r="F228" i="1" a="1"/>
  <c r="E228" i="1" a="1"/>
  <c r="E228" i="1" l="1"/>
  <c r="F228" i="1"/>
  <c r="G228" i="1"/>
  <c r="D228" i="1"/>
  <c r="B229" i="1"/>
  <c r="C228" i="1"/>
  <c r="G229" i="1" a="1"/>
  <c r="F229" i="1" a="1"/>
  <c r="E229" i="1" a="1"/>
  <c r="E229" i="1" l="1"/>
  <c r="F229" i="1"/>
  <c r="G229" i="1"/>
  <c r="D229" i="1"/>
  <c r="B230" i="1"/>
  <c r="C229" i="1"/>
  <c r="G230" i="1" a="1"/>
  <c r="F230" i="1" a="1"/>
  <c r="E230" i="1" a="1"/>
  <c r="E230" i="1" l="1"/>
  <c r="F230" i="1"/>
  <c r="G230" i="1"/>
  <c r="D230" i="1"/>
  <c r="B231" i="1"/>
  <c r="C230" i="1"/>
  <c r="G231" i="1" a="1"/>
  <c r="F231" i="1" a="1"/>
  <c r="E231" i="1" a="1"/>
  <c r="E231" i="1" l="1"/>
  <c r="F231" i="1"/>
  <c r="G231" i="1"/>
  <c r="D231" i="1"/>
  <c r="B232" i="1"/>
  <c r="C231" i="1"/>
  <c r="G232" i="1" a="1"/>
  <c r="F232" i="1" a="1"/>
  <c r="E232" i="1" a="1"/>
  <c r="E232" i="1" l="1"/>
  <c r="F232" i="1"/>
  <c r="G232" i="1"/>
  <c r="D232" i="1"/>
  <c r="B233" i="1"/>
  <c r="C232" i="1"/>
  <c r="G233" i="1" a="1"/>
  <c r="F233" i="1" a="1"/>
  <c r="E233" i="1" a="1"/>
  <c r="E233" i="1" l="1"/>
  <c r="F233" i="1"/>
  <c r="G233" i="1"/>
  <c r="D233" i="1"/>
  <c r="B234" i="1"/>
  <c r="C233" i="1"/>
  <c r="G234" i="1" a="1"/>
  <c r="F234" i="1" a="1"/>
  <c r="E234" i="1" a="1"/>
  <c r="E234" i="1" l="1"/>
  <c r="F234" i="1"/>
  <c r="G234" i="1"/>
  <c r="D234" i="1"/>
  <c r="B235" i="1"/>
  <c r="C234" i="1"/>
  <c r="G235" i="1" a="1"/>
  <c r="F235" i="1" a="1"/>
  <c r="E235" i="1" a="1"/>
  <c r="E235" i="1" l="1"/>
  <c r="F235" i="1"/>
  <c r="G235" i="1"/>
  <c r="D235" i="1"/>
  <c r="B236" i="1"/>
  <c r="C235" i="1"/>
  <c r="G236" i="1" a="1"/>
  <c r="F236" i="1" a="1"/>
  <c r="E236" i="1" a="1"/>
  <c r="E236" i="1" l="1"/>
  <c r="F236" i="1"/>
  <c r="G236" i="1"/>
  <c r="D236" i="1"/>
  <c r="C23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<sst xmlns="http://schemas.openxmlformats.org/spreadsheetml/2006/main" count="9" uniqueCount="8">
  <si>
    <t>x</t>
  </si>
  <si>
    <t>Strike</t>
  </si>
  <si>
    <t>Max</t>
  </si>
  <si>
    <t>t</t>
  </si>
  <si>
    <t>sigmoid</t>
  </si>
  <si>
    <t>cdf</t>
  </si>
  <si>
    <t>param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</si>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</sst>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'Approx Max'!$C$5</c:f>
              <c:strCache>
                <c:ptCount val="1"/>
                <c:pt idx="0">
                  <c:v>Max</c:v>
                </c:pt>
              </c:strCache>
            </c:strRef>
          </c:tx>
          <c:xVal>
            <c:numRef>
              <c:f>'Approx Max'!$B$6:$B$236</c:f>
              <c:numCache>
                <c:formatCode>General</c:formatCode>
                <c:ptCount val="2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</c:numCache>
            </c:numRef>
          </c:xVal>
          <c:yVal>
            <c:numRef>
              <c:f>'Approx Max'!$C$6:$C$236</c:f>
              <c:numCache>
                <c:formatCode>General</c:formatCode>
                <c:ptCount val="2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</c:v>
                </c:pt>
                <c:pt idx="101">
                  <c:v>2</c:v>
                </c:pt>
                <c:pt idx="102">
                  <c:v>3</c:v>
                </c:pt>
                <c:pt idx="103">
                  <c:v>4</c:v>
                </c:pt>
                <c:pt idx="104">
                  <c:v>5</c:v>
                </c:pt>
                <c:pt idx="105">
                  <c:v>6</c:v>
                </c:pt>
                <c:pt idx="106">
                  <c:v>7</c:v>
                </c:pt>
                <c:pt idx="107">
                  <c:v>8</c:v>
                </c:pt>
                <c:pt idx="108">
                  <c:v>9</c:v>
                </c:pt>
                <c:pt idx="109">
                  <c:v>10</c:v>
                </c:pt>
                <c:pt idx="110">
                  <c:v>11</c:v>
                </c:pt>
                <c:pt idx="111">
                  <c:v>12</c:v>
                </c:pt>
                <c:pt idx="112">
                  <c:v>13</c:v>
                </c:pt>
                <c:pt idx="113">
                  <c:v>14</c:v>
                </c:pt>
                <c:pt idx="114">
                  <c:v>15</c:v>
                </c:pt>
                <c:pt idx="115">
                  <c:v>16</c:v>
                </c:pt>
                <c:pt idx="116">
                  <c:v>17</c:v>
                </c:pt>
                <c:pt idx="117">
                  <c:v>18</c:v>
                </c:pt>
                <c:pt idx="118">
                  <c:v>19</c:v>
                </c:pt>
                <c:pt idx="119">
                  <c:v>20</c:v>
                </c:pt>
                <c:pt idx="120">
                  <c:v>21</c:v>
                </c:pt>
                <c:pt idx="121">
                  <c:v>22</c:v>
                </c:pt>
                <c:pt idx="122">
                  <c:v>23</c:v>
                </c:pt>
                <c:pt idx="123">
                  <c:v>24</c:v>
                </c:pt>
                <c:pt idx="124">
                  <c:v>25</c:v>
                </c:pt>
                <c:pt idx="125">
                  <c:v>26</c:v>
                </c:pt>
                <c:pt idx="126">
                  <c:v>27</c:v>
                </c:pt>
                <c:pt idx="127">
                  <c:v>28</c:v>
                </c:pt>
                <c:pt idx="128">
                  <c:v>29</c:v>
                </c:pt>
                <c:pt idx="129">
                  <c:v>30</c:v>
                </c:pt>
                <c:pt idx="130">
                  <c:v>31</c:v>
                </c:pt>
                <c:pt idx="131">
                  <c:v>32</c:v>
                </c:pt>
                <c:pt idx="132">
                  <c:v>33</c:v>
                </c:pt>
                <c:pt idx="133">
                  <c:v>34</c:v>
                </c:pt>
                <c:pt idx="134">
                  <c:v>35</c:v>
                </c:pt>
                <c:pt idx="135">
                  <c:v>36</c:v>
                </c:pt>
                <c:pt idx="136">
                  <c:v>37</c:v>
                </c:pt>
                <c:pt idx="137">
                  <c:v>38</c:v>
                </c:pt>
                <c:pt idx="138">
                  <c:v>39</c:v>
                </c:pt>
                <c:pt idx="139">
                  <c:v>40</c:v>
                </c:pt>
                <c:pt idx="140">
                  <c:v>41</c:v>
                </c:pt>
                <c:pt idx="141">
                  <c:v>42</c:v>
                </c:pt>
                <c:pt idx="142">
                  <c:v>43</c:v>
                </c:pt>
                <c:pt idx="143">
                  <c:v>44</c:v>
                </c:pt>
                <c:pt idx="144">
                  <c:v>45</c:v>
                </c:pt>
                <c:pt idx="145">
                  <c:v>46</c:v>
                </c:pt>
                <c:pt idx="146">
                  <c:v>47</c:v>
                </c:pt>
                <c:pt idx="147">
                  <c:v>48</c:v>
                </c:pt>
                <c:pt idx="148">
                  <c:v>49</c:v>
                </c:pt>
                <c:pt idx="149">
                  <c:v>50</c:v>
                </c:pt>
                <c:pt idx="150">
                  <c:v>51</c:v>
                </c:pt>
                <c:pt idx="151">
                  <c:v>52</c:v>
                </c:pt>
                <c:pt idx="152">
                  <c:v>53</c:v>
                </c:pt>
                <c:pt idx="153">
                  <c:v>54</c:v>
                </c:pt>
                <c:pt idx="154">
                  <c:v>55</c:v>
                </c:pt>
                <c:pt idx="155">
                  <c:v>56</c:v>
                </c:pt>
                <c:pt idx="156">
                  <c:v>57</c:v>
                </c:pt>
                <c:pt idx="157">
                  <c:v>58</c:v>
                </c:pt>
                <c:pt idx="158">
                  <c:v>59</c:v>
                </c:pt>
                <c:pt idx="159">
                  <c:v>60</c:v>
                </c:pt>
                <c:pt idx="160">
                  <c:v>61</c:v>
                </c:pt>
                <c:pt idx="161">
                  <c:v>62</c:v>
                </c:pt>
                <c:pt idx="162">
                  <c:v>63</c:v>
                </c:pt>
                <c:pt idx="163">
                  <c:v>64</c:v>
                </c:pt>
                <c:pt idx="164">
                  <c:v>65</c:v>
                </c:pt>
                <c:pt idx="165">
                  <c:v>66</c:v>
                </c:pt>
                <c:pt idx="166">
                  <c:v>67</c:v>
                </c:pt>
                <c:pt idx="167">
                  <c:v>68</c:v>
                </c:pt>
                <c:pt idx="168">
                  <c:v>69</c:v>
                </c:pt>
                <c:pt idx="169">
                  <c:v>70</c:v>
                </c:pt>
                <c:pt idx="170">
                  <c:v>71</c:v>
                </c:pt>
                <c:pt idx="171">
                  <c:v>72</c:v>
                </c:pt>
                <c:pt idx="172">
                  <c:v>73</c:v>
                </c:pt>
                <c:pt idx="173">
                  <c:v>74</c:v>
                </c:pt>
                <c:pt idx="174">
                  <c:v>75</c:v>
                </c:pt>
                <c:pt idx="175">
                  <c:v>76</c:v>
                </c:pt>
                <c:pt idx="176">
                  <c:v>77</c:v>
                </c:pt>
                <c:pt idx="177">
                  <c:v>78</c:v>
                </c:pt>
                <c:pt idx="178">
                  <c:v>79</c:v>
                </c:pt>
                <c:pt idx="179">
                  <c:v>80</c:v>
                </c:pt>
                <c:pt idx="180">
                  <c:v>81</c:v>
                </c:pt>
                <c:pt idx="181">
                  <c:v>82</c:v>
                </c:pt>
                <c:pt idx="182">
                  <c:v>83</c:v>
                </c:pt>
                <c:pt idx="183">
                  <c:v>84</c:v>
                </c:pt>
                <c:pt idx="184">
                  <c:v>85</c:v>
                </c:pt>
                <c:pt idx="185">
                  <c:v>86</c:v>
                </c:pt>
                <c:pt idx="186">
                  <c:v>87</c:v>
                </c:pt>
                <c:pt idx="187">
                  <c:v>88</c:v>
                </c:pt>
                <c:pt idx="188">
                  <c:v>89</c:v>
                </c:pt>
                <c:pt idx="189">
                  <c:v>90</c:v>
                </c:pt>
                <c:pt idx="190">
                  <c:v>91</c:v>
                </c:pt>
                <c:pt idx="191">
                  <c:v>92</c:v>
                </c:pt>
                <c:pt idx="192">
                  <c:v>93</c:v>
                </c:pt>
                <c:pt idx="193">
                  <c:v>94</c:v>
                </c:pt>
                <c:pt idx="194">
                  <c:v>95</c:v>
                </c:pt>
                <c:pt idx="195">
                  <c:v>96</c:v>
                </c:pt>
                <c:pt idx="196">
                  <c:v>97</c:v>
                </c:pt>
                <c:pt idx="197">
                  <c:v>98</c:v>
                </c:pt>
                <c:pt idx="198">
                  <c:v>99</c:v>
                </c:pt>
                <c:pt idx="199">
                  <c:v>100</c:v>
                </c:pt>
                <c:pt idx="200">
                  <c:v>101</c:v>
                </c:pt>
                <c:pt idx="201">
                  <c:v>102</c:v>
                </c:pt>
                <c:pt idx="202">
                  <c:v>103</c:v>
                </c:pt>
                <c:pt idx="203">
                  <c:v>104</c:v>
                </c:pt>
                <c:pt idx="204">
                  <c:v>105</c:v>
                </c:pt>
                <c:pt idx="205">
                  <c:v>106</c:v>
                </c:pt>
                <c:pt idx="206">
                  <c:v>107</c:v>
                </c:pt>
                <c:pt idx="207">
                  <c:v>108</c:v>
                </c:pt>
                <c:pt idx="208">
                  <c:v>109</c:v>
                </c:pt>
                <c:pt idx="209">
                  <c:v>110</c:v>
                </c:pt>
                <c:pt idx="210">
                  <c:v>111</c:v>
                </c:pt>
                <c:pt idx="211">
                  <c:v>112</c:v>
                </c:pt>
                <c:pt idx="212">
                  <c:v>113</c:v>
                </c:pt>
                <c:pt idx="213">
                  <c:v>114</c:v>
                </c:pt>
                <c:pt idx="214">
                  <c:v>115</c:v>
                </c:pt>
                <c:pt idx="215">
                  <c:v>116</c:v>
                </c:pt>
                <c:pt idx="216">
                  <c:v>117</c:v>
                </c:pt>
                <c:pt idx="217">
                  <c:v>118</c:v>
                </c:pt>
                <c:pt idx="218">
                  <c:v>119</c:v>
                </c:pt>
                <c:pt idx="219">
                  <c:v>120</c:v>
                </c:pt>
                <c:pt idx="220">
                  <c:v>121</c:v>
                </c:pt>
                <c:pt idx="221">
                  <c:v>122</c:v>
                </c:pt>
                <c:pt idx="222">
                  <c:v>123</c:v>
                </c:pt>
                <c:pt idx="223">
                  <c:v>124</c:v>
                </c:pt>
                <c:pt idx="224">
                  <c:v>125</c:v>
                </c:pt>
                <c:pt idx="225">
                  <c:v>126</c:v>
                </c:pt>
                <c:pt idx="226">
                  <c:v>127</c:v>
                </c:pt>
                <c:pt idx="227">
                  <c:v>128</c:v>
                </c:pt>
                <c:pt idx="228">
                  <c:v>129</c:v>
                </c:pt>
                <c:pt idx="229">
                  <c:v>130</c:v>
                </c:pt>
                <c:pt idx="230">
                  <c:v>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9F7-4638-8671-4E404E90E6B7}"/>
            </c:ext>
          </c:extLst>
        </c:ser>
        <c:ser>
          <c:idx val="0"/>
          <c:order val="1"/>
          <c:tx>
            <c:strRef>
              <c:f>'Approx Max'!$D$5</c:f>
              <c:strCache>
                <c:ptCount val="1"/>
                <c:pt idx="0">
                  <c:v>Softplus-0.05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'Approx Max'!$B$6:$B$236</c:f>
              <c:numCache>
                <c:formatCode>General</c:formatCode>
                <c:ptCount val="2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</c:numCache>
            </c:numRef>
          </c:xVal>
          <c:yVal>
            <c:numRef>
              <c:f>'Approx Max'!$D$6:$D$236</c:f>
              <c:numCache>
                <c:formatCode>General</c:formatCode>
                <c:ptCount val="231"/>
                <c:pt idx="0">
                  <c:v>1.258749325408875E-8</c:v>
                </c:pt>
                <c:pt idx="1">
                  <c:v>1.5374399507616642E-8</c:v>
                </c:pt>
                <c:pt idx="2">
                  <c:v>1.8778333297484785E-8</c:v>
                </c:pt>
                <c:pt idx="3">
                  <c:v>2.2935908675211333E-8</c:v>
                </c:pt>
                <c:pt idx="4">
                  <c:v>2.8013982166578151E-8</c:v>
                </c:pt>
                <c:pt idx="5">
                  <c:v>3.4216355187574497E-8</c:v>
                </c:pt>
                <c:pt idx="6">
                  <c:v>4.179195083629319E-8</c:v>
                </c:pt>
                <c:pt idx="7">
                  <c:v>5.1044803678691394E-8</c:v>
                </c:pt>
                <c:pt idx="8">
                  <c:v>6.2346263318563489E-8</c:v>
                </c:pt>
                <c:pt idx="9">
                  <c:v>7.6149898029165148E-8</c:v>
                </c:pt>
                <c:pt idx="10">
                  <c:v>9.3009695746110046E-8</c:v>
                </c:pt>
                <c:pt idx="11">
                  <c:v>1.1360229849885771E-7</c:v>
                </c:pt>
                <c:pt idx="12">
                  <c:v>1.3875416067884383E-7</c:v>
                </c:pt>
                <c:pt idx="13">
                  <c:v>1.6947471361048589E-7</c:v>
                </c:pt>
                <c:pt idx="14">
                  <c:v>2.0699688201355637E-7</c:v>
                </c:pt>
                <c:pt idx="15">
                  <c:v>2.5282656106738045E-7</c:v>
                </c:pt>
                <c:pt idx="16">
                  <c:v>3.0880305691515804E-7</c:v>
                </c:pt>
                <c:pt idx="17">
                  <c:v>3.7717290311702028E-7</c:v>
                </c:pt>
                <c:pt idx="18">
                  <c:v>4.6068002066898359E-7</c:v>
                </c:pt>
                <c:pt idx="19">
                  <c:v>5.6267584201168012E-7</c:v>
                </c:pt>
                <c:pt idx="20">
                  <c:v>6.872538165862884E-7</c:v>
                </c:pt>
                <c:pt idx="21">
                  <c:v>8.3941369470196021E-7</c:v>
                </c:pt>
                <c:pt idx="22">
                  <c:v>1.0252621821745678E-6</c:v>
                </c:pt>
                <c:pt idx="23">
                  <c:v>1.2522580292202188E-6</c:v>
                </c:pt>
                <c:pt idx="24">
                  <c:v>1.5295113689862764E-6</c:v>
                </c:pt>
                <c:pt idx="25">
                  <c:v>1.8681493403897374E-6</c:v>
                </c:pt>
                <c:pt idx="26">
                  <c:v>2.2817626633091803E-6</c:v>
                </c:pt>
                <c:pt idx="27">
                  <c:v>2.7869510692580071E-6</c:v>
                </c:pt>
                <c:pt idx="28">
                  <c:v>3.4039895128429985E-6</c:v>
                </c:pt>
                <c:pt idx="29">
                  <c:v>4.1576418674708912E-6</c:v>
                </c:pt>
                <c:pt idx="30">
                  <c:v>5.0781547758545613E-6</c:v>
                </c:pt>
                <c:pt idx="31">
                  <c:v>6.2024715528854066E-6</c:v>
                </c:pt>
                <c:pt idx="32">
                  <c:v>7.5757148217222316E-6</c:v>
                </c:pt>
                <c:pt idx="33">
                  <c:v>9.252997426284343E-6</c:v>
                </c:pt>
                <c:pt idx="34">
                  <c:v>1.1301634262185905E-5</c:v>
                </c:pt>
                <c:pt idx="35">
                  <c:v>1.3803843805911777E-5</c:v>
                </c:pt>
                <c:pt idx="36">
                  <c:v>1.6860047744590865E-5</c:v>
                </c:pt>
                <c:pt idx="37">
                  <c:v>2.0592901131362057E-5</c:v>
                </c:pt>
                <c:pt idx="38">
                  <c:v>2.5152214772403488E-5</c:v>
                </c:pt>
                <c:pt idx="39">
                  <c:v>3.0720967388737161E-5</c:v>
                </c:pt>
                <c:pt idx="40">
                  <c:v>3.7522648780203264E-5</c:v>
                </c:pt>
                <c:pt idx="41">
                  <c:v>4.5830228639155392E-5</c:v>
                </c:pt>
                <c:pt idx="42">
                  <c:v>5.5977110867730872E-5</c:v>
                </c:pt>
                <c:pt idx="43">
                  <c:v>6.8370512873580083E-5</c:v>
                </c:pt>
                <c:pt idx="44">
                  <c:v>8.350780659152141E-5</c:v>
                </c:pt>
                <c:pt idx="45">
                  <c:v>1.0199647672055152E-4</c:v>
                </c:pt>
                <c:pt idx="46">
                  <c:v>1.245784966640464E-4</c:v>
                </c:pt>
                <c:pt idx="47">
                  <c:v>1.5216009974937421E-4</c:v>
                </c:pt>
                <c:pt idx="48">
                  <c:v>1.8584813942466237E-4</c:v>
                </c:pt>
                <c:pt idx="49">
                  <c:v>2.2699449608435269E-4</c:v>
                </c:pt>
                <c:pt idx="50">
                  <c:v>2.7725031024551872E-4</c:v>
                </c:pt>
                <c:pt idx="51">
                  <c:v>3.3863221501714586E-4</c:v>
                </c:pt>
                <c:pt idx="52">
                  <c:v>4.1360322054858462E-4</c:v>
                </c:pt>
                <c:pt idx="53">
                  <c:v>5.0517148850240498E-4</c:v>
                </c:pt>
                <c:pt idx="54">
                  <c:v>6.170109486166983E-4</c:v>
                </c:pt>
                <c:pt idx="55">
                  <c:v>7.5360858003435194E-4</c:v>
                </c:pt>
                <c:pt idx="56">
                  <c:v>9.2044424137866529E-4</c:v>
                </c:pt>
                <c:pt idx="57">
                  <c:v>1.1242102265585242E-3</c:v>
                </c:pt>
                <c:pt idx="58">
                  <c:v>1.3730792979260199E-3</c:v>
                </c:pt>
                <c:pt idx="59">
                  <c:v>1.6770318644783119E-3</c:v>
                </c:pt>
                <c:pt idx="60">
                  <c:v>2.0482553026269141E-3</c:v>
                </c:pt>
                <c:pt idx="61">
                  <c:v>2.5016312469295469E-3</c:v>
                </c:pt>
                <c:pt idx="62">
                  <c:v>3.0553301112653305E-3</c:v>
                </c:pt>
                <c:pt idx="63">
                  <c:v>3.7315362591379842E-3</c:v>
                </c:pt>
                <c:pt idx="64">
                  <c:v>4.5573322688710078E-3</c:v>
                </c:pt>
                <c:pt idx="65">
                  <c:v>5.565776802322871E-3</c:v>
                </c:pt>
                <c:pt idx="66">
                  <c:v>6.7972178762999869E-3</c:v>
                </c:pt>
                <c:pt idx="67">
                  <c:v>8.3008920702279509E-3</c:v>
                </c:pt>
                <c:pt idx="68">
                  <c:v>1.0136870619191192E-2</c:v>
                </c:pt>
                <c:pt idx="69">
                  <c:v>1.2378425688651785E-2</c:v>
                </c:pt>
                <c:pt idx="70">
                  <c:v>1.5114904654157768E-2</c:v>
                </c:pt>
                <c:pt idx="71">
                  <c:v>1.8455217134732246E-2</c:v>
                </c:pt>
                <c:pt idx="72">
                  <c:v>2.2532058996247023E-2</c:v>
                </c:pt>
                <c:pt idx="73">
                  <c:v>2.7507019548287368E-2</c:v>
                </c:pt>
                <c:pt idx="74">
                  <c:v>3.3576742445589836E-2</c:v>
                </c:pt>
                <c:pt idx="75">
                  <c:v>4.0980336691338819E-2</c:v>
                </c:pt>
                <c:pt idx="76">
                  <c:v>5.0008260278258901E-2</c:v>
                </c:pt>
                <c:pt idx="77">
                  <c:v>6.1012923038480549E-2</c:v>
                </c:pt>
                <c:pt idx="78">
                  <c:v>7.442127335959059E-2</c:v>
                </c:pt>
                <c:pt idx="79">
                  <c:v>9.07496395890489E-2</c:v>
                </c:pt>
                <c:pt idx="80">
                  <c:v>0.11062108227439624</c:v>
                </c:pt>
                <c:pt idx="81">
                  <c:v>0.13478546504104069</c:v>
                </c:pt>
                <c:pt idx="82">
                  <c:v>0.16414235212432723</c:v>
                </c:pt>
                <c:pt idx="83">
                  <c:v>0.19976666581215152</c:v>
                </c:pt>
                <c:pt idx="84">
                  <c:v>0.24293675786870977</c:v>
                </c:pt>
                <c:pt idx="85">
                  <c:v>0.29516413143985681</c:v>
                </c:pt>
                <c:pt idx="86">
                  <c:v>0.35822345983834858</c:v>
                </c:pt>
                <c:pt idx="87">
                  <c:v>0.43418076076974815</c:v>
                </c:pt>
                <c:pt idx="88">
                  <c:v>0.52541659884347969</c:v>
                </c:pt>
                <c:pt idx="89">
                  <c:v>0.634640055214863</c:v>
                </c:pt>
                <c:pt idx="90">
                  <c:v>0.7648880526303703</c:v>
                </c:pt>
                <c:pt idx="91">
                  <c:v>0.91950370444169438</c:v>
                </c:pt>
                <c:pt idx="92">
                  <c:v>1.102087049592255</c:v>
                </c:pt>
                <c:pt idx="93">
                  <c:v>1.3164123366901563</c:v>
                </c:pt>
                <c:pt idx="94">
                  <c:v>1.5663084375911143</c:v>
                </c:pt>
                <c:pt idx="95">
                  <c:v>1.8555033297388883</c:v>
                </c:pt>
                <c:pt idx="96">
                  <c:v>2.1874397524294285</c:v>
                </c:pt>
                <c:pt idx="97">
                  <c:v>2.5650762619997631</c:v>
                </c:pt>
                <c:pt idx="98">
                  <c:v>2.9906943469079588</c:v>
                </c:pt>
                <c:pt idx="99">
                  <c:v>3.4657359027997265</c:v>
                </c:pt>
                <c:pt idx="100">
                  <c:v>3.9906943469079588</c:v>
                </c:pt>
                <c:pt idx="101">
                  <c:v>4.5650762619997636</c:v>
                </c:pt>
                <c:pt idx="102">
                  <c:v>5.1874397524294285</c:v>
                </c:pt>
                <c:pt idx="103">
                  <c:v>5.8555033297388892</c:v>
                </c:pt>
                <c:pt idx="104">
                  <c:v>6.5663084375911138</c:v>
                </c:pt>
                <c:pt idx="105">
                  <c:v>7.3164123366901554</c:v>
                </c:pt>
                <c:pt idx="106">
                  <c:v>8.1020870495922548</c:v>
                </c:pt>
                <c:pt idx="107">
                  <c:v>8.9195037044416949</c:v>
                </c:pt>
                <c:pt idx="108">
                  <c:v>9.7648880526303703</c:v>
                </c:pt>
                <c:pt idx="109">
                  <c:v>10.634640055214863</c:v>
                </c:pt>
                <c:pt idx="110">
                  <c:v>11.525416598843481</c:v>
                </c:pt>
                <c:pt idx="111">
                  <c:v>12.434180760769749</c:v>
                </c:pt>
                <c:pt idx="112">
                  <c:v>13.358223459838349</c:v>
                </c:pt>
                <c:pt idx="113">
                  <c:v>14.295164131439858</c:v>
                </c:pt>
                <c:pt idx="114">
                  <c:v>15.24293675786871</c:v>
                </c:pt>
                <c:pt idx="115">
                  <c:v>16.199766665812152</c:v>
                </c:pt>
                <c:pt idx="116">
                  <c:v>17.164142352124326</c:v>
                </c:pt>
                <c:pt idx="117">
                  <c:v>18.134785465041041</c:v>
                </c:pt>
                <c:pt idx="118">
                  <c:v>19.110621082274395</c:v>
                </c:pt>
                <c:pt idx="119">
                  <c:v>20.090749639589049</c:v>
                </c:pt>
                <c:pt idx="120">
                  <c:v>21.074421273359594</c:v>
                </c:pt>
                <c:pt idx="121">
                  <c:v>22.061012923038483</c:v>
                </c:pt>
                <c:pt idx="122">
                  <c:v>23.050008260278258</c:v>
                </c:pt>
                <c:pt idx="123">
                  <c:v>24.040980336691341</c:v>
                </c:pt>
                <c:pt idx="124">
                  <c:v>25.03357674244559</c:v>
                </c:pt>
                <c:pt idx="125">
                  <c:v>26.027507019548288</c:v>
                </c:pt>
                <c:pt idx="126">
                  <c:v>27.022532058996248</c:v>
                </c:pt>
                <c:pt idx="127">
                  <c:v>28.018455217134729</c:v>
                </c:pt>
                <c:pt idx="128">
                  <c:v>29.015114904654155</c:v>
                </c:pt>
                <c:pt idx="129">
                  <c:v>30.012378425688652</c:v>
                </c:pt>
                <c:pt idx="130">
                  <c:v>31.010136870619192</c:v>
                </c:pt>
                <c:pt idx="131">
                  <c:v>32.008300892070231</c:v>
                </c:pt>
                <c:pt idx="132">
                  <c:v>33.006797217876297</c:v>
                </c:pt>
                <c:pt idx="133">
                  <c:v>34.005565776802328</c:v>
                </c:pt>
                <c:pt idx="134">
                  <c:v>35.004557332268867</c:v>
                </c:pt>
                <c:pt idx="135">
                  <c:v>36.003731536259139</c:v>
                </c:pt>
                <c:pt idx="136">
                  <c:v>37.003055330111266</c:v>
                </c:pt>
                <c:pt idx="137">
                  <c:v>38.002501631246929</c:v>
                </c:pt>
                <c:pt idx="138">
                  <c:v>39.002048255302626</c:v>
                </c:pt>
                <c:pt idx="139">
                  <c:v>40.001677031864482</c:v>
                </c:pt>
                <c:pt idx="140">
                  <c:v>41.00137307929792</c:v>
                </c:pt>
                <c:pt idx="141">
                  <c:v>42.001124210226557</c:v>
                </c:pt>
                <c:pt idx="142">
                  <c:v>43.000920444241373</c:v>
                </c:pt>
                <c:pt idx="143">
                  <c:v>44.000753608580041</c:v>
                </c:pt>
                <c:pt idx="144">
                  <c:v>45.000617010948616</c:v>
                </c:pt>
                <c:pt idx="145">
                  <c:v>46.000505171488498</c:v>
                </c:pt>
                <c:pt idx="146">
                  <c:v>47.000413603220551</c:v>
                </c:pt>
                <c:pt idx="147">
                  <c:v>48.000338632215012</c:v>
                </c:pt>
                <c:pt idx="148">
                  <c:v>49.000277250310248</c:v>
                </c:pt>
                <c:pt idx="149">
                  <c:v>50.000226994496089</c:v>
                </c:pt>
                <c:pt idx="150">
                  <c:v>51.000185848139417</c:v>
                </c:pt>
                <c:pt idx="151">
                  <c:v>52.000152160099745</c:v>
                </c:pt>
                <c:pt idx="152">
                  <c:v>53.000124578496667</c:v>
                </c:pt>
                <c:pt idx="153">
                  <c:v>54.000101996476729</c:v>
                </c:pt>
                <c:pt idx="154">
                  <c:v>55.000083507806593</c:v>
                </c:pt>
                <c:pt idx="155">
                  <c:v>56.000068370512878</c:v>
                </c:pt>
                <c:pt idx="156">
                  <c:v>57.000055977110868</c:v>
                </c:pt>
                <c:pt idx="157">
                  <c:v>58.000045830228643</c:v>
                </c:pt>
                <c:pt idx="158">
                  <c:v>59.000037522648789</c:v>
                </c:pt>
                <c:pt idx="159">
                  <c:v>60.000030720967388</c:v>
                </c:pt>
                <c:pt idx="160">
                  <c:v>61.000025152214768</c:v>
                </c:pt>
                <c:pt idx="161">
                  <c:v>62.000020592901137</c:v>
                </c:pt>
                <c:pt idx="162">
                  <c:v>63.000016860047737</c:v>
                </c:pt>
                <c:pt idx="163">
                  <c:v>64.0000138038438</c:v>
                </c:pt>
                <c:pt idx="164">
                  <c:v>65.00001130163426</c:v>
                </c:pt>
                <c:pt idx="165">
                  <c:v>66.000009252997415</c:v>
                </c:pt>
                <c:pt idx="166">
                  <c:v>67.000007575714818</c:v>
                </c:pt>
                <c:pt idx="167">
                  <c:v>68.000006202471553</c:v>
                </c:pt>
                <c:pt idx="168">
                  <c:v>69.000005078154786</c:v>
                </c:pt>
                <c:pt idx="169">
                  <c:v>70.000004157641868</c:v>
                </c:pt>
                <c:pt idx="170">
                  <c:v>71.00000340398951</c:v>
                </c:pt>
                <c:pt idx="171">
                  <c:v>72.000002786951072</c:v>
                </c:pt>
                <c:pt idx="172">
                  <c:v>73.000002281762661</c:v>
                </c:pt>
                <c:pt idx="173">
                  <c:v>74.00000186814934</c:v>
                </c:pt>
                <c:pt idx="174">
                  <c:v>75.000001529511366</c:v>
                </c:pt>
                <c:pt idx="175">
                  <c:v>76.000001252258031</c:v>
                </c:pt>
                <c:pt idx="176">
                  <c:v>77.000001025262193</c:v>
                </c:pt>
                <c:pt idx="177">
                  <c:v>78.000000839413687</c:v>
                </c:pt>
                <c:pt idx="178">
                  <c:v>79.000000687253817</c:v>
                </c:pt>
                <c:pt idx="179">
                  <c:v>80.000000562675837</c:v>
                </c:pt>
                <c:pt idx="180">
                  <c:v>81.000000460680027</c:v>
                </c:pt>
                <c:pt idx="181">
                  <c:v>82.000000377172896</c:v>
                </c:pt>
                <c:pt idx="182">
                  <c:v>83.000000308803067</c:v>
                </c:pt>
                <c:pt idx="183">
                  <c:v>84.000000252826567</c:v>
                </c:pt>
                <c:pt idx="184">
                  <c:v>85.000000206996873</c:v>
                </c:pt>
                <c:pt idx="185">
                  <c:v>86.000000169474703</c:v>
                </c:pt>
                <c:pt idx="186">
                  <c:v>87.00000013875416</c:v>
                </c:pt>
                <c:pt idx="187">
                  <c:v>88.000000113602312</c:v>
                </c:pt>
                <c:pt idx="188">
                  <c:v>89.000000093009689</c:v>
                </c:pt>
                <c:pt idx="189">
                  <c:v>90.000000076149888</c:v>
                </c:pt>
                <c:pt idx="190">
                  <c:v>91.00000006234626</c:v>
                </c:pt>
                <c:pt idx="191">
                  <c:v>92.000000051044793</c:v>
                </c:pt>
                <c:pt idx="192">
                  <c:v>93.000000041791964</c:v>
                </c:pt>
                <c:pt idx="193">
                  <c:v>94.00000003421637</c:v>
                </c:pt>
                <c:pt idx="194">
                  <c:v>95.000000028013986</c:v>
                </c:pt>
                <c:pt idx="195">
                  <c:v>96.000000022935907</c:v>
                </c:pt>
                <c:pt idx="196">
                  <c:v>97.000000018778323</c:v>
                </c:pt>
                <c:pt idx="197">
                  <c:v>98.000000015374411</c:v>
                </c:pt>
                <c:pt idx="198">
                  <c:v>99.000000012587492</c:v>
                </c:pt>
                <c:pt idx="199">
                  <c:v>100.00000001030577</c:v>
                </c:pt>
                <c:pt idx="200">
                  <c:v>101.00000000843764</c:v>
                </c:pt>
                <c:pt idx="201">
                  <c:v>102.00000000690815</c:v>
                </c:pt>
                <c:pt idx="202">
                  <c:v>103.00000000565592</c:v>
                </c:pt>
                <c:pt idx="203">
                  <c:v>104.00000000463068</c:v>
                </c:pt>
                <c:pt idx="204">
                  <c:v>105.00000000379129</c:v>
                </c:pt>
                <c:pt idx="205">
                  <c:v>106.00000000310403</c:v>
                </c:pt>
                <c:pt idx="206">
                  <c:v>107.00000000254136</c:v>
                </c:pt>
                <c:pt idx="207">
                  <c:v>108.00000000208071</c:v>
                </c:pt>
                <c:pt idx="208">
                  <c:v>109.00000000170353</c:v>
                </c:pt>
                <c:pt idx="209">
                  <c:v>110.00000000139474</c:v>
                </c:pt>
                <c:pt idx="210">
                  <c:v>111.00000000114191</c:v>
                </c:pt>
                <c:pt idx="211">
                  <c:v>112.0000000009349</c:v>
                </c:pt>
                <c:pt idx="212">
                  <c:v>113.00000000076545</c:v>
                </c:pt>
                <c:pt idx="213">
                  <c:v>114.0000000006267</c:v>
                </c:pt>
                <c:pt idx="214">
                  <c:v>115.0000000005131</c:v>
                </c:pt>
                <c:pt idx="215">
                  <c:v>116.00000000042009</c:v>
                </c:pt>
                <c:pt idx="216">
                  <c:v>117.00000000034393</c:v>
                </c:pt>
                <c:pt idx="217">
                  <c:v>118.0000000002816</c:v>
                </c:pt>
                <c:pt idx="218">
                  <c:v>119.00000000023056</c:v>
                </c:pt>
                <c:pt idx="219">
                  <c:v>120.00000000018875</c:v>
                </c:pt>
                <c:pt idx="220">
                  <c:v>121.00000000015454</c:v>
                </c:pt>
                <c:pt idx="221">
                  <c:v>122.00000000012652</c:v>
                </c:pt>
                <c:pt idx="222">
                  <c:v>123.0000000001036</c:v>
                </c:pt>
                <c:pt idx="223">
                  <c:v>124.00000000008482</c:v>
                </c:pt>
                <c:pt idx="224">
                  <c:v>125.00000000006943</c:v>
                </c:pt>
                <c:pt idx="225">
                  <c:v>126.00000000005684</c:v>
                </c:pt>
                <c:pt idx="226">
                  <c:v>127.00000000004653</c:v>
                </c:pt>
                <c:pt idx="227">
                  <c:v>128.00000000003811</c:v>
                </c:pt>
                <c:pt idx="228">
                  <c:v>129.00000000003121</c:v>
                </c:pt>
                <c:pt idx="229">
                  <c:v>130.00000000002555</c:v>
                </c:pt>
                <c:pt idx="230">
                  <c:v>131.00000000002092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9F7-4638-8671-4E404E90E6B7}"/>
            </c:ext>
          </c:extLst>
        </c:ser>
        <c:ser>
          <c:idx val="1"/>
          <c:order val="2"/>
          <c:tx>
            <c:strRef>
              <c:f>'Approx Max'!$E$5</c:f>
              <c:strCache>
                <c:ptCount val="1"/>
                <c:pt idx="0">
                  <c:v>APBS-0.1</c:v>
                </c:pt>
              </c:strCache>
            </c:strRef>
          </c:tx>
          <c:xVal>
            <c:numRef>
              <c:f>'Approx Max'!$B$6:$B$236</c:f>
              <c:numCache>
                <c:formatCode>General</c:formatCode>
                <c:ptCount val="2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</c:numCache>
            </c:numRef>
          </c:xVal>
          <c:yVal>
            <c:numRef>
              <c:f>'Approx Max'!$E$6:$E$236</c:f>
              <c:numCache>
                <c:formatCode>General</c:formatCode>
                <c:ptCount val="231"/>
                <c:pt idx="0">
                  <c:v>-2.9287575935986923E-204</c:v>
                </c:pt>
                <c:pt idx="1">
                  <c:v>-2.4968830193588541E-173</c:v>
                </c:pt>
                <c:pt idx="2">
                  <c:v>-3.0817955037652343E-155</c:v>
                </c:pt>
                <c:pt idx="3">
                  <c:v>-2.1062031023788474E-142</c:v>
                </c:pt>
                <c:pt idx="4">
                  <c:v>-1.8957948162619059E-132</c:v>
                </c:pt>
                <c:pt idx="5">
                  <c:v>-2.5712575158366914E-124</c:v>
                </c:pt>
                <c:pt idx="6">
                  <c:v>-1.928331928033554E-117</c:v>
                </c:pt>
                <c:pt idx="7">
                  <c:v>-1.7375072780856457E-111</c:v>
                </c:pt>
                <c:pt idx="8">
                  <c:v>-3.1029070169152815E-106</c:v>
                </c:pt>
                <c:pt idx="9">
                  <c:v>-1.5457499157458386E-101</c:v>
                </c:pt>
                <c:pt idx="10">
                  <c:v>-2.7409902438974436E-97</c:v>
                </c:pt>
                <c:pt idx="11">
                  <c:v>-2.071301201837434E-93</c:v>
                </c:pt>
                <c:pt idx="12">
                  <c:v>-7.647317680785317E-90</c:v>
                </c:pt>
                <c:pt idx="13">
                  <c:v>-1.5340808919737369E-86</c:v>
                </c:pt>
                <c:pt idx="14">
                  <c:v>-1.8190287835126075E-83</c:v>
                </c:pt>
                <c:pt idx="15">
                  <c:v>-1.3644917602876088E-80</c:v>
                </c:pt>
                <c:pt idx="16">
                  <c:v>-6.8448059028193835E-78</c:v>
                </c:pt>
                <c:pt idx="17">
                  <c:v>-2.4043027036459695E-75</c:v>
                </c:pt>
                <c:pt idx="18">
                  <c:v>-6.145967572050452E-73</c:v>
                </c:pt>
                <c:pt idx="19">
                  <c:v>-1.1811971411741822E-70</c:v>
                </c:pt>
                <c:pt idx="20">
                  <c:v>-1.75496889914041E-68</c:v>
                </c:pt>
                <c:pt idx="21">
                  <c:v>-2.0645601266429998E-66</c:v>
                </c:pt>
                <c:pt idx="22">
                  <c:v>-1.963384817680707E-64</c:v>
                </c:pt>
                <c:pt idx="23">
                  <c:v>-1.5369534078601837E-62</c:v>
                </c:pt>
                <c:pt idx="24">
                  <c:v>-1.0062083314673495E-60</c:v>
                </c:pt>
                <c:pt idx="25">
                  <c:v>-5.5868846982869192E-59</c:v>
                </c:pt>
                <c:pt idx="26">
                  <c:v>-2.6637869061895393E-57</c:v>
                </c:pt>
                <c:pt idx="27">
                  <c:v>-1.1027615672961352E-55</c:v>
                </c:pt>
                <c:pt idx="28">
                  <c:v>-4.0032641289967251E-54</c:v>
                </c:pt>
                <c:pt idx="29">
                  <c:v>-1.2857538578684737E-52</c:v>
                </c:pt>
                <c:pt idx="30">
                  <c:v>-3.6829231712716045E-51</c:v>
                </c:pt>
                <c:pt idx="31">
                  <c:v>-9.4769161824877514E-50</c:v>
                </c:pt>
                <c:pt idx="32">
                  <c:v>-2.2051503856844496E-48</c:v>
                </c:pt>
                <c:pt idx="33">
                  <c:v>-4.6677444613298501E-47</c:v>
                </c:pt>
                <c:pt idx="34">
                  <c:v>-9.0374910326915132E-46</c:v>
                </c:pt>
                <c:pt idx="35">
                  <c:v>-1.6085470985625974E-44</c:v>
                </c:pt>
                <c:pt idx="36">
                  <c:v>-2.6439840747699487E-43</c:v>
                </c:pt>
                <c:pt idx="37">
                  <c:v>-4.0304829198841127E-42</c:v>
                </c:pt>
                <c:pt idx="38">
                  <c:v>-5.7203047676353425E-41</c:v>
                </c:pt>
                <c:pt idx="39">
                  <c:v>-7.5858946223625655E-40</c:v>
                </c:pt>
                <c:pt idx="40">
                  <c:v>-9.431168621817708E-39</c:v>
                </c:pt>
                <c:pt idx="41">
                  <c:v>-1.1026450985189743E-37</c:v>
                </c:pt>
                <c:pt idx="42">
                  <c:v>-1.2158018832819877E-36</c:v>
                </c:pt>
                <c:pt idx="43">
                  <c:v>-1.2676679198874743E-35</c:v>
                </c:pt>
                <c:pt idx="44">
                  <c:v>-1.2529792673649535E-34</c:v>
                </c:pt>
                <c:pt idx="45">
                  <c:v>-1.176755331051246E-33</c:v>
                </c:pt>
                <c:pt idx="46">
                  <c:v>-1.0523854885786646E-32</c:v>
                </c:pt>
                <c:pt idx="47">
                  <c:v>-8.9803270936815907E-32</c:v>
                </c:pt>
                <c:pt idx="48">
                  <c:v>-7.3259677380678754E-31</c:v>
                </c:pt>
                <c:pt idx="49">
                  <c:v>-5.7236014990880672E-30</c:v>
                </c:pt>
                <c:pt idx="50">
                  <c:v>-4.2897735666494502E-29</c:v>
                </c:pt>
                <c:pt idx="51">
                  <c:v>-3.0891971471119595E-28</c:v>
                </c:pt>
                <c:pt idx="52">
                  <c:v>-2.1406649597605122E-27</c:v>
                </c:pt>
                <c:pt idx="53">
                  <c:v>-1.4293938681290181E-26</c:v>
                </c:pt>
                <c:pt idx="54">
                  <c:v>-9.2093506385926954E-26</c:v>
                </c:pt>
                <c:pt idx="55">
                  <c:v>-5.7322026429256908E-25</c:v>
                </c:pt>
                <c:pt idx="56">
                  <c:v>-3.4509687702911312E-24</c:v>
                </c:pt>
                <c:pt idx="57">
                  <c:v>-2.0117359505818403E-23</c:v>
                </c:pt>
                <c:pt idx="58">
                  <c:v>-1.1367595207097008E-22</c:v>
                </c:pt>
                <c:pt idx="59">
                  <c:v>-6.2325600887376715E-22</c:v>
                </c:pt>
                <c:pt idx="60">
                  <c:v>-3.3187458387052112E-21</c:v>
                </c:pt>
                <c:pt idx="61">
                  <c:v>-1.7178241250097464E-20</c:v>
                </c:pt>
                <c:pt idx="62">
                  <c:v>-8.6506245141842763E-20</c:v>
                </c:pt>
                <c:pt idx="63">
                  <c:v>-4.2415790944489732E-19</c:v>
                </c:pt>
                <c:pt idx="64">
                  <c:v>-2.026504951464996E-18</c:v>
                </c:pt>
                <c:pt idx="65">
                  <c:v>-9.4410133482285448E-18</c:v>
                </c:pt>
                <c:pt idx="66">
                  <c:v>-4.2917477553124372E-17</c:v>
                </c:pt>
                <c:pt idx="67">
                  <c:v>-1.9048981386163659E-16</c:v>
                </c:pt>
                <c:pt idx="68">
                  <c:v>-8.260241763556974E-16</c:v>
                </c:pt>
                <c:pt idx="69">
                  <c:v>-3.5014112416783982E-15</c:v>
                </c:pt>
                <c:pt idx="70">
                  <c:v>-1.4516220377238737E-14</c:v>
                </c:pt>
                <c:pt idx="71">
                  <c:v>-5.8889747603350106E-14</c:v>
                </c:pt>
                <c:pt idx="72">
                  <c:v>-2.3388487441397767E-13</c:v>
                </c:pt>
                <c:pt idx="73">
                  <c:v>-9.097588445403019E-13</c:v>
                </c:pt>
                <c:pt idx="74">
                  <c:v>-3.4672249902298292E-12</c:v>
                </c:pt>
                <c:pt idx="75">
                  <c:v>-1.295159199361349E-11</c:v>
                </c:pt>
                <c:pt idx="76">
                  <c:v>-4.7433653944868749E-11</c:v>
                </c:pt>
                <c:pt idx="77">
                  <c:v>-1.7036922266051337E-10</c:v>
                </c:pt>
                <c:pt idx="78">
                  <c:v>-6.0025532949717783E-10</c:v>
                </c:pt>
                <c:pt idx="79">
                  <c:v>-2.0749069598144104E-9</c:v>
                </c:pt>
                <c:pt idx="80">
                  <c:v>-7.0377154188572862E-9</c:v>
                </c:pt>
                <c:pt idx="81">
                  <c:v>-2.3423917545341634E-8</c:v>
                </c:pt>
                <c:pt idx="82">
                  <c:v>-7.6502001287660458E-8</c:v>
                </c:pt>
                <c:pt idx="83">
                  <c:v>-2.451441967372234E-7</c:v>
                </c:pt>
                <c:pt idx="84">
                  <c:v>-7.7055915866652054E-7</c:v>
                </c:pt>
                <c:pt idx="85">
                  <c:v>-2.3749935566935366E-6</c:v>
                </c:pt>
                <c:pt idx="86">
                  <c:v>-7.1737298026534003E-6</c:v>
                </c:pt>
                <c:pt idx="87">
                  <c:v>-2.1217661486450661E-5</c:v>
                </c:pt>
                <c:pt idx="88">
                  <c:v>-6.1377839440003693E-5</c:v>
                </c:pt>
                <c:pt idx="89">
                  <c:v>-1.733649119229006E-4</c:v>
                </c:pt>
                <c:pt idx="90">
                  <c:v>-4.7697423695973993E-4</c:v>
                </c:pt>
                <c:pt idx="91">
                  <c:v>-1.2736461550081394E-3</c:v>
                </c:pt>
                <c:pt idx="92">
                  <c:v>-3.2824465678240994E-3</c:v>
                </c:pt>
                <c:pt idx="93">
                  <c:v>-8.0900734115314267E-3</c:v>
                </c:pt>
                <c:pt idx="94">
                  <c:v>-1.8759056309292657E-2</c:v>
                </c:pt>
                <c:pt idx="95">
                  <c:v>-3.9624329410804043E-2</c:v>
                </c:pt>
                <c:pt idx="96">
                  <c:v>-7.0860232391653705E-2</c:v>
                </c:pt>
                <c:pt idx="97">
                  <c:v>-8.6285651337630026E-2</c:v>
                </c:pt>
                <c:pt idx="98">
                  <c:v>7.2794308707618827E-3</c:v>
                </c:pt>
                <c:pt idx="99">
                  <c:v>0.35192729272783829</c:v>
                </c:pt>
                <c:pt idx="100">
                  <c:v>1.0120770523185041</c:v>
                </c:pt>
                <c:pt idx="101">
                  <c:v>1.9156079067472163</c:v>
                </c:pt>
                <c:pt idx="102">
                  <c:v>2.9260305185841946</c:v>
                </c:pt>
                <c:pt idx="103">
                  <c:v>3.9552818919638018</c:v>
                </c:pt>
                <c:pt idx="104">
                  <c:v>4.9766843862593042</c:v>
                </c:pt>
                <c:pt idx="105">
                  <c:v>5.9887086771527942</c:v>
                </c:pt>
                <c:pt idx="106">
                  <c:v>6.9947518250439504</c:v>
                </c:pt>
                <c:pt idx="107">
                  <c:v>7.997619300098898</c:v>
                </c:pt>
                <c:pt idx="108">
                  <c:v>8.9989359826553752</c:v>
                </c:pt>
                <c:pt idx="109">
                  <c:v>9.9995287354222366</c:v>
                </c:pt>
                <c:pt idx="110">
                  <c:v>10.99979236468797</c:v>
                </c:pt>
                <c:pt idx="111">
                  <c:v>11.999908759597799</c:v>
                </c:pt>
                <c:pt idx="112">
                  <c:v>12.999959938670623</c:v>
                </c:pt>
                <c:pt idx="113">
                  <c:v>13.999982400410737</c:v>
                </c:pt>
                <c:pt idx="114">
                  <c:v>14.999992256145861</c:v>
                </c:pt>
                <c:pt idx="115">
                  <c:v>15.999996584751299</c:v>
                </c:pt>
                <c:pt idx="116">
                  <c:v>16.999998489383284</c:v>
                </c:pt>
                <c:pt idx="117">
                  <c:v>17.999999329572269</c:v>
                </c:pt>
                <c:pt idx="118">
                  <c:v>18.999999701344301</c:v>
                </c:pt>
                <c:pt idx="119">
                  <c:v>19.999999866422712</c:v>
                </c:pt>
                <c:pt idx="120">
                  <c:v>20.999999940002532</c:v>
                </c:pt>
                <c:pt idx="121">
                  <c:v>21.999999972932603</c:v>
                </c:pt>
                <c:pt idx="122">
                  <c:v>22.999999987733204</c:v>
                </c:pt>
                <c:pt idx="123">
                  <c:v>23.999999994414896</c:v>
                </c:pt>
                <c:pt idx="124">
                  <c:v>24.999999997445052</c:v>
                </c:pt>
                <c:pt idx="125">
                  <c:v>25.999999998825626</c:v>
                </c:pt>
                <c:pt idx="126">
                  <c:v>26.999999999457597</c:v>
                </c:pt>
                <c:pt idx="127">
                  <c:v>27.999999999748262</c:v>
                </c:pt>
                <c:pt idx="128">
                  <c:v>28.999999999882597</c:v>
                </c:pt>
                <c:pt idx="129">
                  <c:v>29.999999999944979</c:v>
                </c:pt>
                <c:pt idx="130">
                  <c:v>30.999999999974097</c:v>
                </c:pt>
                <c:pt idx="131">
                  <c:v>31.99999999998774</c:v>
                </c:pt>
                <c:pt idx="132">
                  <c:v>32.999999999994174</c:v>
                </c:pt>
                <c:pt idx="133">
                  <c:v>33.999999999997215</c:v>
                </c:pt>
                <c:pt idx="134">
                  <c:v>34.999999999998657</c:v>
                </c:pt>
                <c:pt idx="135">
                  <c:v>35.999999999999353</c:v>
                </c:pt>
                <c:pt idx="136">
                  <c:v>36.999999999999687</c:v>
                </c:pt>
                <c:pt idx="137">
                  <c:v>37.999999999999858</c:v>
                </c:pt>
                <c:pt idx="138">
                  <c:v>38.999999999999922</c:v>
                </c:pt>
                <c:pt idx="139">
                  <c:v>39.999999999999957</c:v>
                </c:pt>
                <c:pt idx="140">
                  <c:v>40.999999999999979</c:v>
                </c:pt>
                <c:pt idx="141">
                  <c:v>41.999999999999993</c:v>
                </c:pt>
                <c:pt idx="142">
                  <c:v>42.999999999999993</c:v>
                </c:pt>
                <c:pt idx="143">
                  <c:v>44</c:v>
                </c:pt>
                <c:pt idx="144">
                  <c:v>45</c:v>
                </c:pt>
                <c:pt idx="145">
                  <c:v>46</c:v>
                </c:pt>
                <c:pt idx="146">
                  <c:v>47</c:v>
                </c:pt>
                <c:pt idx="147">
                  <c:v>48</c:v>
                </c:pt>
                <c:pt idx="148">
                  <c:v>49</c:v>
                </c:pt>
                <c:pt idx="149">
                  <c:v>50</c:v>
                </c:pt>
                <c:pt idx="150">
                  <c:v>51</c:v>
                </c:pt>
                <c:pt idx="151">
                  <c:v>52</c:v>
                </c:pt>
                <c:pt idx="152">
                  <c:v>53</c:v>
                </c:pt>
                <c:pt idx="153">
                  <c:v>54</c:v>
                </c:pt>
                <c:pt idx="154">
                  <c:v>55</c:v>
                </c:pt>
                <c:pt idx="155">
                  <c:v>56</c:v>
                </c:pt>
                <c:pt idx="156">
                  <c:v>57</c:v>
                </c:pt>
                <c:pt idx="157">
                  <c:v>58</c:v>
                </c:pt>
                <c:pt idx="158">
                  <c:v>59</c:v>
                </c:pt>
                <c:pt idx="159">
                  <c:v>60</c:v>
                </c:pt>
                <c:pt idx="160">
                  <c:v>61</c:v>
                </c:pt>
                <c:pt idx="161">
                  <c:v>62</c:v>
                </c:pt>
                <c:pt idx="162">
                  <c:v>63</c:v>
                </c:pt>
                <c:pt idx="163">
                  <c:v>64</c:v>
                </c:pt>
                <c:pt idx="164">
                  <c:v>65</c:v>
                </c:pt>
                <c:pt idx="165">
                  <c:v>66</c:v>
                </c:pt>
                <c:pt idx="166">
                  <c:v>67</c:v>
                </c:pt>
                <c:pt idx="167">
                  <c:v>68</c:v>
                </c:pt>
                <c:pt idx="168">
                  <c:v>69</c:v>
                </c:pt>
                <c:pt idx="169">
                  <c:v>70</c:v>
                </c:pt>
                <c:pt idx="170">
                  <c:v>71</c:v>
                </c:pt>
                <c:pt idx="171">
                  <c:v>72</c:v>
                </c:pt>
                <c:pt idx="172">
                  <c:v>73</c:v>
                </c:pt>
                <c:pt idx="173">
                  <c:v>74</c:v>
                </c:pt>
                <c:pt idx="174">
                  <c:v>75</c:v>
                </c:pt>
                <c:pt idx="175">
                  <c:v>76</c:v>
                </c:pt>
                <c:pt idx="176">
                  <c:v>77</c:v>
                </c:pt>
                <c:pt idx="177">
                  <c:v>78</c:v>
                </c:pt>
                <c:pt idx="178">
                  <c:v>79</c:v>
                </c:pt>
                <c:pt idx="179">
                  <c:v>80</c:v>
                </c:pt>
                <c:pt idx="180">
                  <c:v>81</c:v>
                </c:pt>
                <c:pt idx="181">
                  <c:v>82</c:v>
                </c:pt>
                <c:pt idx="182">
                  <c:v>83</c:v>
                </c:pt>
                <c:pt idx="183">
                  <c:v>84</c:v>
                </c:pt>
                <c:pt idx="184">
                  <c:v>85</c:v>
                </c:pt>
                <c:pt idx="185">
                  <c:v>86</c:v>
                </c:pt>
                <c:pt idx="186">
                  <c:v>87</c:v>
                </c:pt>
                <c:pt idx="187">
                  <c:v>88</c:v>
                </c:pt>
                <c:pt idx="188">
                  <c:v>89</c:v>
                </c:pt>
                <c:pt idx="189">
                  <c:v>90</c:v>
                </c:pt>
                <c:pt idx="190">
                  <c:v>91</c:v>
                </c:pt>
                <c:pt idx="191">
                  <c:v>92</c:v>
                </c:pt>
                <c:pt idx="192">
                  <c:v>93</c:v>
                </c:pt>
                <c:pt idx="193">
                  <c:v>94</c:v>
                </c:pt>
                <c:pt idx="194">
                  <c:v>95</c:v>
                </c:pt>
                <c:pt idx="195">
                  <c:v>96</c:v>
                </c:pt>
                <c:pt idx="196">
                  <c:v>97</c:v>
                </c:pt>
                <c:pt idx="197">
                  <c:v>98</c:v>
                </c:pt>
                <c:pt idx="198">
                  <c:v>99</c:v>
                </c:pt>
                <c:pt idx="199">
                  <c:v>100</c:v>
                </c:pt>
                <c:pt idx="200">
                  <c:v>101</c:v>
                </c:pt>
                <c:pt idx="201">
                  <c:v>102</c:v>
                </c:pt>
                <c:pt idx="202">
                  <c:v>103</c:v>
                </c:pt>
                <c:pt idx="203">
                  <c:v>104</c:v>
                </c:pt>
                <c:pt idx="204">
                  <c:v>105</c:v>
                </c:pt>
                <c:pt idx="205">
                  <c:v>106</c:v>
                </c:pt>
                <c:pt idx="206">
                  <c:v>107</c:v>
                </c:pt>
                <c:pt idx="207">
                  <c:v>108</c:v>
                </c:pt>
                <c:pt idx="208">
                  <c:v>109</c:v>
                </c:pt>
                <c:pt idx="209">
                  <c:v>110</c:v>
                </c:pt>
                <c:pt idx="210">
                  <c:v>111</c:v>
                </c:pt>
                <c:pt idx="211">
                  <c:v>112</c:v>
                </c:pt>
                <c:pt idx="212">
                  <c:v>113</c:v>
                </c:pt>
                <c:pt idx="213">
                  <c:v>114</c:v>
                </c:pt>
                <c:pt idx="214">
                  <c:v>115</c:v>
                </c:pt>
                <c:pt idx="215">
                  <c:v>116</c:v>
                </c:pt>
                <c:pt idx="216">
                  <c:v>117</c:v>
                </c:pt>
                <c:pt idx="217">
                  <c:v>118</c:v>
                </c:pt>
                <c:pt idx="218">
                  <c:v>119</c:v>
                </c:pt>
                <c:pt idx="219">
                  <c:v>120</c:v>
                </c:pt>
                <c:pt idx="220">
                  <c:v>121</c:v>
                </c:pt>
                <c:pt idx="221">
                  <c:v>122</c:v>
                </c:pt>
                <c:pt idx="222">
                  <c:v>123</c:v>
                </c:pt>
                <c:pt idx="223">
                  <c:v>124</c:v>
                </c:pt>
                <c:pt idx="224">
                  <c:v>125</c:v>
                </c:pt>
                <c:pt idx="225">
                  <c:v>126</c:v>
                </c:pt>
                <c:pt idx="226">
                  <c:v>127</c:v>
                </c:pt>
                <c:pt idx="227">
                  <c:v>128</c:v>
                </c:pt>
                <c:pt idx="228">
                  <c:v>129</c:v>
                </c:pt>
                <c:pt idx="229">
                  <c:v>130</c:v>
                </c:pt>
                <c:pt idx="230">
                  <c:v>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9F7-4638-8671-4E404E90E6B7}"/>
            </c:ext>
          </c:extLst>
        </c:ser>
        <c:ser>
          <c:idx val="4"/>
          <c:order val="3"/>
          <c:tx>
            <c:strRef>
              <c:f>'Approx Max'!$F$5</c:f>
              <c:strCache>
                <c:ptCount val="1"/>
                <c:pt idx="0">
                  <c:v>APBS-0.25</c:v>
                </c:pt>
              </c:strCache>
            </c:strRef>
          </c:tx>
          <c:xVal>
            <c:numRef>
              <c:f>'Approx Max'!$B$6:$B$236</c:f>
              <c:numCache>
                <c:formatCode>General</c:formatCode>
                <c:ptCount val="2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</c:numCache>
            </c:numRef>
          </c:xVal>
          <c:yVal>
            <c:numRef>
              <c:f>'Approx Max'!$F$6:$F$236</c:f>
              <c:numCache>
                <c:formatCode>General</c:formatCode>
                <c:ptCount val="231"/>
                <c:pt idx="0">
                  <c:v>-6.0838223443773209E-81</c:v>
                </c:pt>
                <c:pt idx="1">
                  <c:v>-1.4245726837784677E-68</c:v>
                </c:pt>
                <c:pt idx="2">
                  <c:v>-2.440276991442323E-61</c:v>
                </c:pt>
                <c:pt idx="3">
                  <c:v>-3.2997375043574103E-56</c:v>
                </c:pt>
                <c:pt idx="4">
                  <c:v>-3.1428690079420541E-52</c:v>
                </c:pt>
                <c:pt idx="5">
                  <c:v>-5.5894167908110748E-49</c:v>
                </c:pt>
                <c:pt idx="6">
                  <c:v>-3.1221002586602727E-46</c:v>
                </c:pt>
                <c:pt idx="7">
                  <c:v>-7.4709743670509795E-44</c:v>
                </c:pt>
                <c:pt idx="8">
                  <c:v>-9.3564779038323982E-42</c:v>
                </c:pt>
                <c:pt idx="9">
                  <c:v>-7.0311104546984064E-40</c:v>
                </c:pt>
                <c:pt idx="10">
                  <c:v>-3.4950933060533723E-38</c:v>
                </c:pt>
                <c:pt idx="11">
                  <c:v>-1.2350484443688102E-36</c:v>
                </c:pt>
                <c:pt idx="12">
                  <c:v>-3.2767531976350369E-35</c:v>
                </c:pt>
                <c:pt idx="13">
                  <c:v>-6.8107405043872266E-34</c:v>
                </c:pt>
                <c:pt idx="14">
                  <c:v>-1.1470079258230489E-32</c:v>
                </c:pt>
                <c:pt idx="15">
                  <c:v>-1.6082521603410494E-31</c:v>
                </c:pt>
                <c:pt idx="16">
                  <c:v>-1.9195702884542951E-30</c:v>
                </c:pt>
                <c:pt idx="17">
                  <c:v>-1.9865822415509533E-29</c:v>
                </c:pt>
                <c:pt idx="18">
                  <c:v>-1.8103175362905955E-28</c:v>
                </c:pt>
                <c:pt idx="19">
                  <c:v>-1.4716707432258722E-27</c:v>
                </c:pt>
                <c:pt idx="20">
                  <c:v>-1.0792116212384103E-26</c:v>
                </c:pt>
                <c:pt idx="21">
                  <c:v>-7.2077522641037676E-26</c:v>
                </c:pt>
                <c:pt idx="22">
                  <c:v>-4.4207154366909518E-25</c:v>
                </c:pt>
                <c:pt idx="23">
                  <c:v>-2.5079936494067105E-24</c:v>
                </c:pt>
                <c:pt idx="24">
                  <c:v>-1.3245180624029241E-23</c:v>
                </c:pt>
                <c:pt idx="25">
                  <c:v>-6.5481484694043799E-23</c:v>
                </c:pt>
                <c:pt idx="26">
                  <c:v>-3.0455389227590227E-22</c:v>
                </c:pt>
                <c:pt idx="27">
                  <c:v>-1.3384894695601964E-21</c:v>
                </c:pt>
                <c:pt idx="28">
                  <c:v>-5.5806978376119611E-21</c:v>
                </c:pt>
                <c:pt idx="29">
                  <c:v>-2.2152730088446169E-20</c:v>
                </c:pt>
                <c:pt idx="30">
                  <c:v>-8.3988820782219027E-20</c:v>
                </c:pt>
                <c:pt idx="31">
                  <c:v>-3.0502020827841162E-19</c:v>
                </c:pt>
                <c:pt idx="32">
                  <c:v>-1.0638723936264868E-18</c:v>
                </c:pt>
                <c:pt idx="33">
                  <c:v>-3.5722555859668128E-18</c:v>
                </c:pt>
                <c:pt idx="34">
                  <c:v>-1.1572710039947474E-17</c:v>
                </c:pt>
                <c:pt idx="35">
                  <c:v>-3.6243834019789528E-17</c:v>
                </c:pt>
                <c:pt idx="36">
                  <c:v>-1.099347271972294E-16</c:v>
                </c:pt>
                <c:pt idx="37">
                  <c:v>-3.2349565256035917E-16</c:v>
                </c:pt>
                <c:pt idx="38">
                  <c:v>-9.2492887457065341E-16</c:v>
                </c:pt>
                <c:pt idx="39">
                  <c:v>-2.5732170987174098E-15</c:v>
                </c:pt>
                <c:pt idx="40">
                  <c:v>-6.9750599050804183E-15</c:v>
                </c:pt>
                <c:pt idx="41">
                  <c:v>-1.8444034058035068E-14</c:v>
                </c:pt>
                <c:pt idx="42">
                  <c:v>-4.7631595988457385E-14</c:v>
                </c:pt>
                <c:pt idx="43">
                  <c:v>-1.2026121838049241E-13</c:v>
                </c:pt>
                <c:pt idx="44">
                  <c:v>-2.9714991687099073E-13</c:v>
                </c:pt>
                <c:pt idx="45">
                  <c:v>-7.1919143574296863E-13</c:v>
                </c:pt>
                <c:pt idx="46">
                  <c:v>-1.7064952426778074E-12</c:v>
                </c:pt>
                <c:pt idx="47">
                  <c:v>-3.9728830394093365E-12</c:v>
                </c:pt>
                <c:pt idx="48">
                  <c:v>-9.0818145200554284E-12</c:v>
                </c:pt>
                <c:pt idx="49">
                  <c:v>-2.039909869919014E-11</c:v>
                </c:pt>
                <c:pt idx="50">
                  <c:v>-4.5051273479994001E-11</c:v>
                </c:pt>
                <c:pt idx="51">
                  <c:v>-9.7887994244039351E-11</c:v>
                </c:pt>
                <c:pt idx="52">
                  <c:v>-2.0937755326049989E-10</c:v>
                </c:pt>
                <c:pt idx="53">
                  <c:v>-4.411089646161144E-10</c:v>
                </c:pt>
                <c:pt idx="54">
                  <c:v>-9.1579685426061751E-10</c:v>
                </c:pt>
                <c:pt idx="55">
                  <c:v>-1.8745582219844569E-9</c:v>
                </c:pt>
                <c:pt idx="56">
                  <c:v>-3.7847890285523336E-9</c:v>
                </c:pt>
                <c:pt idx="57">
                  <c:v>-7.5407048719864149E-9</c:v>
                </c:pt>
                <c:pt idx="58">
                  <c:v>-1.483143205805348E-8</c:v>
                </c:pt>
                <c:pt idx="59">
                  <c:v>-2.8808311487065189E-8</c:v>
                </c:pt>
                <c:pt idx="60">
                  <c:v>-5.5280077214675131E-8</c:v>
                </c:pt>
                <c:pt idx="61">
                  <c:v>-1.0482826882470234E-7</c:v>
                </c:pt>
                <c:pt idx="62">
                  <c:v>-1.9650815118757189E-7</c:v>
                </c:pt>
                <c:pt idx="63">
                  <c:v>-3.6424993067034109E-7</c:v>
                </c:pt>
                <c:pt idx="64">
                  <c:v>-6.6780651452512655E-7</c:v>
                </c:pt>
                <c:pt idx="65">
                  <c:v>-1.2112698284807191E-6</c:v>
                </c:pt>
                <c:pt idx="66">
                  <c:v>-2.1740443716556327E-6</c:v>
                </c:pt>
                <c:pt idx="67">
                  <c:v>-3.8620928608731781E-6</c:v>
                </c:pt>
                <c:pt idx="68">
                  <c:v>-6.7917961499894533E-6</c:v>
                </c:pt>
                <c:pt idx="69">
                  <c:v>-1.1825678969583555E-5</c:v>
                </c:pt>
                <c:pt idx="70">
                  <c:v>-2.0389645779149659E-5</c:v>
                </c:pt>
                <c:pt idx="71">
                  <c:v>-3.4816760649739105E-5</c:v>
                </c:pt>
                <c:pt idx="72">
                  <c:v>-5.8885004975129137E-5</c:v>
                </c:pt>
                <c:pt idx="73">
                  <c:v>-9.8648422031882309E-5</c:v>
                </c:pt>
                <c:pt idx="74">
                  <c:v>-1.6370567678665479E-4</c:v>
                </c:pt>
                <c:pt idx="75">
                  <c:v>-2.6911062857414708E-4</c:v>
                </c:pt>
                <c:pt idx="76">
                  <c:v>-4.3820887796111585E-4</c:v>
                </c:pt>
                <c:pt idx="77">
                  <c:v>-7.067832950260381E-4</c:v>
                </c:pt>
                <c:pt idx="78">
                  <c:v>-1.1290062830097351E-3</c:v>
                </c:pt>
                <c:pt idx="79">
                  <c:v>-1.785812777043075E-3</c:v>
                </c:pt>
                <c:pt idx="80">
                  <c:v>-2.796391855304324E-3</c:v>
                </c:pt>
                <c:pt idx="81">
                  <c:v>-4.33347666907535E-3</c:v>
                </c:pt>
                <c:pt idx="82">
                  <c:v>-6.6428598844092907E-3</c:v>
                </c:pt>
                <c:pt idx="83">
                  <c:v>-1.006683706538576E-2</c:v>
                </c:pt>
                <c:pt idx="84">
                  <c:v>-1.5069674140053564E-2</c:v>
                </c:pt>
                <c:pt idx="85">
                  <c:v>-2.2260033983715531E-2</c:v>
                </c:pt>
                <c:pt idx="86">
                  <c:v>-3.2399534480477846E-2</c:v>
                </c:pt>
                <c:pt idx="87">
                  <c:v>-4.6376756978315448E-2</c:v>
                </c:pt>
                <c:pt idx="88">
                  <c:v>-6.5110305064760302E-2</c:v>
                </c:pt>
                <c:pt idx="89">
                  <c:v>-8.9321737542264357E-2</c:v>
                </c:pt>
                <c:pt idx="90">
                  <c:v>-0.11909141180298667</c:v>
                </c:pt>
                <c:pt idx="91">
                  <c:v>-0.15308905175994292</c:v>
                </c:pt>
                <c:pt idx="92">
                  <c:v>-0.1873888731020032</c:v>
                </c:pt>
                <c:pt idx="93">
                  <c:v>-0.21390272227714682</c:v>
                </c:pt>
                <c:pt idx="94">
                  <c:v>-0.21878167739620508</c:v>
                </c:pt>
                <c:pt idx="95">
                  <c:v>-0.18165304353222772</c:v>
                </c:pt>
                <c:pt idx="96">
                  <c:v>-7.6954662937637502E-2</c:v>
                </c:pt>
                <c:pt idx="97">
                  <c:v>0.12188889632420541</c:v>
                </c:pt>
                <c:pt idx="98">
                  <c:v>0.43663268998714033</c:v>
                </c:pt>
                <c:pt idx="99">
                  <c:v>0.87974196142082128</c:v>
                </c:pt>
                <c:pt idx="100">
                  <c:v>1.4532223683614363</c:v>
                </c:pt>
                <c:pt idx="101">
                  <c:v>2.1495472390325925</c:v>
                </c:pt>
                <c:pt idx="102">
                  <c:v>2.9530207738737997</c:v>
                </c:pt>
                <c:pt idx="103">
                  <c:v>3.8420665360337498</c:v>
                </c:pt>
                <c:pt idx="104">
                  <c:v>4.7930222640210935</c:v>
                </c:pt>
                <c:pt idx="105">
                  <c:v>5.7841645033374443</c:v>
                </c:pt>
                <c:pt idx="106">
                  <c:v>6.7982723051430547</c:v>
                </c:pt>
                <c:pt idx="107">
                  <c:v>7.8232728678660655</c:v>
                </c:pt>
                <c:pt idx="108">
                  <c:v>8.8515799264609019</c:v>
                </c:pt>
                <c:pt idx="109">
                  <c:v>9.8789355636262517</c:v>
                </c:pt>
                <c:pt idx="110">
                  <c:v>10.90328615766337</c:v>
                </c:pt>
                <c:pt idx="111">
                  <c:v>11.923907904598138</c:v>
                </c:pt>
                <c:pt idx="112">
                  <c:v>12.940807079880059</c:v>
                </c:pt>
                <c:pt idx="113">
                  <c:v>13.954343298022209</c:v>
                </c:pt>
                <c:pt idx="114">
                  <c:v>14.965009685412824</c:v>
                </c:pt>
                <c:pt idx="115">
                  <c:v>15.97331420887186</c:v>
                </c:pt>
                <c:pt idx="116">
                  <c:v>16.97972213405933</c:v>
                </c:pt>
                <c:pt idx="117">
                  <c:v>17.984633342344726</c:v>
                </c:pt>
                <c:pt idx="118">
                  <c:v>18.988378269047224</c:v>
                </c:pt>
                <c:pt idx="119">
                  <c:v>19.991222899241311</c:v>
                </c:pt>
                <c:pt idx="120">
                  <c:v>20.99337744580502</c:v>
                </c:pt>
                <c:pt idx="121">
                  <c:v>21.995005853829699</c:v>
                </c:pt>
                <c:pt idx="122">
                  <c:v>22.996234735756321</c:v>
                </c:pt>
                <c:pt idx="123">
                  <c:v>23.997161155460937</c:v>
                </c:pt>
                <c:pt idx="124">
                  <c:v>24.997859111092875</c:v>
                </c:pt>
                <c:pt idx="125">
                  <c:v>25.998384778619556</c:v>
                </c:pt>
                <c:pt idx="126">
                  <c:v>26.998780668412696</c:v>
                </c:pt>
                <c:pt idx="127">
                  <c:v>27.999078872985915</c:v>
                </c:pt>
                <c:pt idx="128">
                  <c:v>28.999303577799544</c:v>
                </c:pt>
                <c:pt idx="129">
                  <c:v>29.999472986964232</c:v>
                </c:pt>
                <c:pt idx="130">
                  <c:v>30.999600791314762</c:v>
                </c:pt>
                <c:pt idx="131">
                  <c:v>31.999697282479183</c:v>
                </c:pt>
                <c:pt idx="132">
                  <c:v>32.999770195355929</c:v>
                </c:pt>
                <c:pt idx="133">
                  <c:v>33.999825343526048</c:v>
                </c:pt>
                <c:pt idx="134">
                  <c:v>34.999867097549881</c:v>
                </c:pt>
                <c:pt idx="135">
                  <c:v>35.999898744482508</c:v>
                </c:pt>
                <c:pt idx="136">
                  <c:v>36.999922757838299</c:v>
                </c:pt>
                <c:pt idx="137">
                  <c:v>37.999941000182211</c:v>
                </c:pt>
                <c:pt idx="138">
                  <c:v>38.999954875110419</c:v>
                </c:pt>
                <c:pt idx="139">
                  <c:v>39.999965441253593</c:v>
                </c:pt>
                <c:pt idx="140">
                  <c:v>40.999973497802848</c:v>
                </c:pt>
                <c:pt idx="141">
                  <c:v>41.999979648690527</c:v>
                </c:pt>
                <c:pt idx="142">
                  <c:v>42.999984350774533</c:v>
                </c:pt>
                <c:pt idx="143">
                  <c:v>43.999987950033592</c:v>
                </c:pt>
                <c:pt idx="144">
                  <c:v>44.99999070877498</c:v>
                </c:pt>
                <c:pt idx="145">
                  <c:v>45.999992826102094</c:v>
                </c:pt>
                <c:pt idx="146">
                  <c:v>46.999994453324689</c:v>
                </c:pt>
                <c:pt idx="147">
                  <c:v>47.999995705572005</c:v>
                </c:pt>
                <c:pt idx="148">
                  <c:v>48.99999667055291</c:v>
                </c:pt>
                <c:pt idx="149">
                  <c:v>49.999997415170803</c:v>
                </c:pt>
                <c:pt idx="150">
                  <c:v>50.999997990523866</c:v>
                </c:pt>
                <c:pt idx="151">
                  <c:v>51.999998435688987</c:v>
                </c:pt>
                <c:pt idx="152">
                  <c:v>52.99999878058857</c:v>
                </c:pt>
                <c:pt idx="153">
                  <c:v>53.999999048164902</c:v>
                </c:pt>
                <c:pt idx="154">
                  <c:v>54.999999256031401</c:v>
                </c:pt>
                <c:pt idx="155">
                  <c:v>55.999999417728056</c:v>
                </c:pt>
                <c:pt idx="156">
                  <c:v>56.999999543677134</c:v>
                </c:pt>
                <c:pt idx="157">
                  <c:v>57.9999996419116</c:v>
                </c:pt>
                <c:pt idx="158">
                  <c:v>58.999999718630903</c:v>
                </c:pt>
                <c:pt idx="159">
                  <c:v>59.999999778625849</c:v>
                </c:pt>
                <c:pt idx="160">
                  <c:v>60.999999825603396</c:v>
                </c:pt>
                <c:pt idx="161">
                  <c:v>61.999999862435686</c:v>
                </c:pt>
                <c:pt idx="162">
                  <c:v>62.999999891350868</c:v>
                </c:pt>
                <c:pt idx="163">
                  <c:v>63.99999991407978</c:v>
                </c:pt>
                <c:pt idx="164">
                  <c:v>64.999999931968659</c:v>
                </c:pt>
                <c:pt idx="165">
                  <c:v>65.999999946065955</c:v>
                </c:pt>
                <c:pt idx="166">
                  <c:v>66.999999957189232</c:v>
                </c:pt>
                <c:pt idx="167">
                  <c:v>67.999999965976812</c:v>
                </c:pt>
                <c:pt idx="168">
                  <c:v>68.999999972927725</c:v>
                </c:pt>
                <c:pt idx="169">
                  <c:v>69.999999978432598</c:v>
                </c:pt>
                <c:pt idx="170">
                  <c:v>70.999999982797561</c:v>
                </c:pt>
                <c:pt idx="171">
                  <c:v>71.99999998626285</c:v>
                </c:pt>
                <c:pt idx="172">
                  <c:v>72.999999989017184</c:v>
                </c:pt>
                <c:pt idx="173">
                  <c:v>73.999999991209023</c:v>
                </c:pt>
                <c:pt idx="174">
                  <c:v>74.999999992955296</c:v>
                </c:pt>
                <c:pt idx="175">
                  <c:v>75.999999994348215</c:v>
                </c:pt>
                <c:pt idx="176">
                  <c:v>76.999999995460556</c:v>
                </c:pt>
                <c:pt idx="177">
                  <c:v>77.999999996349871</c:v>
                </c:pt>
                <c:pt idx="178">
                  <c:v>78.999999997061678</c:v>
                </c:pt>
                <c:pt idx="179">
                  <c:v>79.999999997632059</c:v>
                </c:pt>
                <c:pt idx="180">
                  <c:v>80.999999998089635</c:v>
                </c:pt>
                <c:pt idx="181">
                  <c:v>81.999999998457113</c:v>
                </c:pt>
                <c:pt idx="182">
                  <c:v>82.999999998752543</c:v>
                </c:pt>
                <c:pt idx="183">
                  <c:v>83.999999998990333</c:v>
                </c:pt>
                <c:pt idx="184">
                  <c:v>84.999999999181924</c:v>
                </c:pt>
                <c:pt idx="185">
                  <c:v>85.999999999336481</c:v>
                </c:pt>
                <c:pt idx="186">
                  <c:v>86.999999999461266</c:v>
                </c:pt>
                <c:pt idx="187">
                  <c:v>87.999999999562135</c:v>
                </c:pt>
                <c:pt idx="188">
                  <c:v>88.999999999643734</c:v>
                </c:pt>
                <c:pt idx="189">
                  <c:v>89.999999999709843</c:v>
                </c:pt>
                <c:pt idx="190">
                  <c:v>90.99999999976346</c:v>
                </c:pt>
                <c:pt idx="191">
                  <c:v>91.999999999806974</c:v>
                </c:pt>
                <c:pt idx="192">
                  <c:v>92.999999999842316</c:v>
                </c:pt>
                <c:pt idx="193">
                  <c:v>93.999999999871065</c:v>
                </c:pt>
                <c:pt idx="194">
                  <c:v>94.999999999894484</c:v>
                </c:pt>
                <c:pt idx="195">
                  <c:v>95.999999999913555</c:v>
                </c:pt>
                <c:pt idx="196">
                  <c:v>96.999999999929102</c:v>
                </c:pt>
                <c:pt idx="197">
                  <c:v>97.999999999941807</c:v>
                </c:pt>
                <c:pt idx="198">
                  <c:v>98.999999999952195</c:v>
                </c:pt>
                <c:pt idx="199">
                  <c:v>99.999999999960693</c:v>
                </c:pt>
                <c:pt idx="200">
                  <c:v>100.99999999996764</c:v>
                </c:pt>
                <c:pt idx="201">
                  <c:v>101.99999999997334</c:v>
                </c:pt>
                <c:pt idx="202">
                  <c:v>102.99999999997802</c:v>
                </c:pt>
                <c:pt idx="203">
                  <c:v>103.99999999998187</c:v>
                </c:pt>
                <c:pt idx="204">
                  <c:v>104.99999999998501</c:v>
                </c:pt>
                <c:pt idx="205">
                  <c:v>105.99999999998762</c:v>
                </c:pt>
                <c:pt idx="206">
                  <c:v>106.99999999998974</c:v>
                </c:pt>
                <c:pt idx="207">
                  <c:v>107.9999999999915</c:v>
                </c:pt>
                <c:pt idx="208">
                  <c:v>108.99999999999297</c:v>
                </c:pt>
                <c:pt idx="209">
                  <c:v>109.99999999999416</c:v>
                </c:pt>
                <c:pt idx="210">
                  <c:v>110.99999999999515</c:v>
                </c:pt>
                <c:pt idx="211">
                  <c:v>111.99999999999596</c:v>
                </c:pt>
                <c:pt idx="212">
                  <c:v>112.99999999999665</c:v>
                </c:pt>
                <c:pt idx="213">
                  <c:v>113.9999999999972</c:v>
                </c:pt>
                <c:pt idx="214">
                  <c:v>114.99999999999768</c:v>
                </c:pt>
                <c:pt idx="215">
                  <c:v>115.99999999999807</c:v>
                </c:pt>
                <c:pt idx="216">
                  <c:v>116.99999999999839</c:v>
                </c:pt>
                <c:pt idx="217">
                  <c:v>117.99999999999865</c:v>
                </c:pt>
                <c:pt idx="218">
                  <c:v>118.99999999999888</c:v>
                </c:pt>
                <c:pt idx="219">
                  <c:v>119.99999999999906</c:v>
                </c:pt>
                <c:pt idx="220">
                  <c:v>120.9999999999992</c:v>
                </c:pt>
                <c:pt idx="221">
                  <c:v>121.99999999999935</c:v>
                </c:pt>
                <c:pt idx="222">
                  <c:v>122.99999999999945</c:v>
                </c:pt>
                <c:pt idx="223">
                  <c:v>123.99999999999953</c:v>
                </c:pt>
                <c:pt idx="224">
                  <c:v>124.9999999999996</c:v>
                </c:pt>
                <c:pt idx="225">
                  <c:v>125.99999999999967</c:v>
                </c:pt>
                <c:pt idx="226">
                  <c:v>126.99999999999973</c:v>
                </c:pt>
                <c:pt idx="227">
                  <c:v>127.99999999999976</c:v>
                </c:pt>
                <c:pt idx="228">
                  <c:v>128.9999999999998</c:v>
                </c:pt>
                <c:pt idx="229">
                  <c:v>129.99999999999983</c:v>
                </c:pt>
                <c:pt idx="230">
                  <c:v>130.99999999999986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5A-495F-A9B3-0137312D6433}"/>
            </c:ext>
          </c:extLst>
        </c:ser>
        <c:ser>
          <c:idx val="3"/>
          <c:order val="4"/>
          <c:tx>
            <c:strRef>
              <c:f>'Approx Max'!$G$5</c:f>
              <c:strCache>
                <c:ptCount val="1"/>
                <c:pt idx="0">
                  <c:v>APBS-0.5</c:v>
                </c:pt>
              </c:strCache>
            </c:strRef>
          </c:tx>
          <c:xVal>
            <c:numRef>
              <c:f>'Approx Max'!$B$6:$B$236</c:f>
              <c:numCache>
                <c:formatCode>General</c:formatCode>
                <c:ptCount val="2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</c:numCache>
            </c:numRef>
          </c:xVal>
          <c:yVal>
            <c:numRef>
              <c:f>'Approx Max'!$G$6:$G$236</c:f>
              <c:numCache>
                <c:formatCode>General</c:formatCode>
                <c:ptCount val="231"/>
                <c:pt idx="0">
                  <c:v>-7.7734736871850053E-40</c:v>
                </c:pt>
                <c:pt idx="1">
                  <c:v>-1.1828468114582434E-33</c:v>
                </c:pt>
                <c:pt idx="2">
                  <c:v>-4.8678523886582915E-30</c:v>
                </c:pt>
                <c:pt idx="3">
                  <c:v>-1.7797575951257072E-27</c:v>
                </c:pt>
                <c:pt idx="4">
                  <c:v>-1.7268660188663745E-25</c:v>
                </c:pt>
                <c:pt idx="5">
                  <c:v>-7.2397478558251965E-24</c:v>
                </c:pt>
                <c:pt idx="6">
                  <c:v>-1.7008967362716529E-22</c:v>
                </c:pt>
                <c:pt idx="7">
                  <c:v>-2.6153293861500283E-21</c:v>
                </c:pt>
                <c:pt idx="8">
                  <c:v>-2.9090110594292013E-20</c:v>
                </c:pt>
                <c:pt idx="9">
                  <c:v>-2.5062241697476982E-19</c:v>
                </c:pt>
                <c:pt idx="10">
                  <c:v>-1.7559926115030364E-18</c:v>
                </c:pt>
                <c:pt idx="11">
                  <c:v>-1.0372569617251563E-17</c:v>
                </c:pt>
                <c:pt idx="12">
                  <c:v>-5.3086261159055879E-17</c:v>
                </c:pt>
                <c:pt idx="13">
                  <c:v>-2.4045692539111228E-16</c:v>
                </c:pt>
                <c:pt idx="14">
                  <c:v>-9.803161919667831E-16</c:v>
                </c:pt>
                <c:pt idx="15">
                  <c:v>-3.646404924080223E-15</c:v>
                </c:pt>
                <c:pt idx="16">
                  <c:v>-1.2512833897689588E-14</c:v>
                </c:pt>
                <c:pt idx="17">
                  <c:v>-3.9979073043384125E-14</c:v>
                </c:pt>
                <c:pt idx="18">
                  <c:v>-1.1985093402182939E-13</c:v>
                </c:pt>
                <c:pt idx="19">
                  <c:v>-3.3932170347025101E-13</c:v>
                </c:pt>
                <c:pt idx="20">
                  <c:v>-9.1234343384292979E-13</c:v>
                </c:pt>
                <c:pt idx="21">
                  <c:v>-2.3407709359589654E-12</c:v>
                </c:pt>
                <c:pt idx="22">
                  <c:v>-5.7545732423943316E-12</c:v>
                </c:pt>
                <c:pt idx="23">
                  <c:v>-1.3604746286222514E-11</c:v>
                </c:pt>
                <c:pt idx="24">
                  <c:v>-3.1028992314792928E-11</c:v>
                </c:pt>
                <c:pt idx="25">
                  <c:v>-6.8463500832670448E-11</c:v>
                </c:pt>
                <c:pt idx="26">
                  <c:v>-1.4650116854640006E-10</c:v>
                </c:pt>
                <c:pt idx="27">
                  <c:v>-3.0469973454129987E-10</c:v>
                </c:pt>
                <c:pt idx="28">
                  <c:v>-6.1717615413394828E-10</c:v>
                </c:pt>
                <c:pt idx="29">
                  <c:v>-1.2196120392342442E-9</c:v>
                </c:pt>
                <c:pt idx="30">
                  <c:v>-2.3550656881295034E-9</c:v>
                </c:pt>
                <c:pt idx="31">
                  <c:v>-4.4502031191724067E-9</c:v>
                </c:pt>
                <c:pt idx="32">
                  <c:v>-8.2398725314320299E-9</c:v>
                </c:pt>
                <c:pt idx="33">
                  <c:v>-1.4967247602762595E-8</c:v>
                </c:pt>
                <c:pt idx="34">
                  <c:v>-2.6700268520007483E-8</c:v>
                </c:pt>
                <c:pt idx="35">
                  <c:v>-4.6824440252504609E-8</c:v>
                </c:pt>
                <c:pt idx="36">
                  <c:v>-8.0799351123107726E-8</c:v>
                </c:pt>
                <c:pt idx="37">
                  <c:v>-1.3730434814276858E-7</c:v>
                </c:pt>
                <c:pt idx="38">
                  <c:v>-2.2995124744678914E-7</c:v>
                </c:pt>
                <c:pt idx="39">
                  <c:v>-3.7981333908838746E-7</c:v>
                </c:pt>
                <c:pt idx="40">
                  <c:v>-6.1911599570521552E-7</c:v>
                </c:pt>
                <c:pt idx="41">
                  <c:v>-9.9656200429318303E-7</c:v>
                </c:pt>
                <c:pt idx="42">
                  <c:v>-1.5849329635331705E-6</c:v>
                </c:pt>
                <c:pt idx="43">
                  <c:v>-2.4918271389368083E-6</c:v>
                </c:pt>
                <c:pt idx="44">
                  <c:v>-3.8746763841113114E-6</c:v>
                </c:pt>
                <c:pt idx="45">
                  <c:v>-5.9615444980349434E-6</c:v>
                </c:pt>
                <c:pt idx="46">
                  <c:v>-9.0796631375692105E-6</c:v>
                </c:pt>
                <c:pt idx="47">
                  <c:v>-1.3694227531447472E-5</c:v>
                </c:pt>
                <c:pt idx="48">
                  <c:v>-2.0460672768026104E-5</c:v>
                </c:pt>
                <c:pt idx="49">
                  <c:v>-3.0294503407799345E-5</c:v>
                </c:pt>
                <c:pt idx="50">
                  <c:v>-4.4463775702607004E-5</c:v>
                </c:pt>
                <c:pt idx="51">
                  <c:v>-6.4710552426223102E-5</c:v>
                </c:pt>
                <c:pt idx="52">
                  <c:v>-9.3409081223457511E-5</c:v>
                </c:pt>
                <c:pt idx="53">
                  <c:v>-1.3377009771742363E-4</c:v>
                </c:pt>
                <c:pt idx="54">
                  <c:v>-1.9010252265174446E-4</c:v>
                </c:pt>
                <c:pt idx="55">
                  <c:v>-2.6814588967372208E-4</c:v>
                </c:pt>
                <c:pt idx="56">
                  <c:v>-3.7548906430715743E-4</c:v>
                </c:pt>
                <c:pt idx="57">
                  <c:v>-5.2209311834197668E-4</c:v>
                </c:pt>
                <c:pt idx="58">
                  <c:v>-7.2093848332504087E-4</c:v>
                </c:pt>
                <c:pt idx="59">
                  <c:v>-9.8881853448518704E-4</c:v>
                </c:pt>
                <c:pt idx="60">
                  <c:v>-1.3473032799553944E-3</c:v>
                </c:pt>
                <c:pt idx="61">
                  <c:v>-1.8238974658658581E-3</c:v>
                </c:pt>
                <c:pt idx="62">
                  <c:v>-2.4534166272428006E-3</c:v>
                </c:pt>
                <c:pt idx="63">
                  <c:v>-3.2796017027542303E-3</c:v>
                </c:pt>
                <c:pt idx="64">
                  <c:v>-4.3569868358952768E-3</c:v>
                </c:pt>
                <c:pt idx="65">
                  <c:v>-5.7530246548013666E-3</c:v>
                </c:pt>
                <c:pt idx="66">
                  <c:v>-7.5504570339871187E-3</c:v>
                </c:pt>
                <c:pt idx="67">
                  <c:v>-9.8498950146145379E-3</c:v>
                </c:pt>
                <c:pt idx="68">
                  <c:v>-1.2772536569341705E-2</c:v>
                </c:pt>
                <c:pt idx="69">
                  <c:v>-1.6462901980590926E-2</c:v>
                </c:pt>
                <c:pt idx="70">
                  <c:v>-2.109139978539222E-2</c:v>
                </c:pt>
                <c:pt idx="71">
                  <c:v>-2.6856446821624018E-2</c:v>
                </c:pt>
                <c:pt idx="72">
                  <c:v>-3.3985748532915201E-2</c:v>
                </c:pt>
                <c:pt idx="73">
                  <c:v>-4.273619461777995E-2</c:v>
                </c:pt>
                <c:pt idx="74">
                  <c:v>-5.3391634842621348E-2</c:v>
                </c:pt>
                <c:pt idx="75">
                  <c:v>-6.6257566287304656E-2</c:v>
                </c:pt>
                <c:pt idx="76">
                  <c:v>-8.1651485835307167E-2</c:v>
                </c:pt>
                <c:pt idx="77">
                  <c:v>-9.9887346598738283E-2</c:v>
                </c:pt>
                <c:pt idx="78">
                  <c:v>-0.12125222256161755</c:v>
                </c:pt>
                <c:pt idx="79">
                  <c:v>-0.14597297029777834</c:v>
                </c:pt>
                <c:pt idx="80">
                  <c:v>-0.17417044891454198</c:v>
                </c:pt>
                <c:pt idx="81">
                  <c:v>-0.20579883170302077</c:v>
                </c:pt>
                <c:pt idx="82">
                  <c:v>-0.24056788479230681</c:v>
                </c:pt>
                <c:pt idx="83">
                  <c:v>-0.27784703473753108</c:v>
                </c:pt>
                <c:pt idx="84">
                  <c:v>-0.31655189279292822</c:v>
                </c:pt>
                <c:pt idx="85">
                  <c:v>-0.35501696133614058</c:v>
                </c:pt>
                <c:pt idx="86">
                  <c:v>-0.39086274812930577</c:v>
                </c:pt>
                <c:pt idx="87">
                  <c:v>-0.42087141829994079</c:v>
                </c:pt>
                <c:pt idx="88">
                  <c:v>-0.44089183281632577</c:v>
                </c:pt>
                <c:pt idx="89">
                  <c:v>-0.44580089040552451</c:v>
                </c:pt>
                <c:pt idx="90">
                  <c:v>-0.42955096162468476</c:v>
                </c:pt>
                <c:pt idx="91">
                  <c:v>-0.38532948435922992</c:v>
                </c:pt>
                <c:pt idx="92">
                  <c:v>-0.30584329391493492</c:v>
                </c:pt>
                <c:pt idx="93">
                  <c:v>-0.18371607613989233</c:v>
                </c:pt>
                <c:pt idx="94">
                  <c:v>-1.1956336210222351E-2</c:v>
                </c:pt>
                <c:pt idx="95">
                  <c:v>0.21557459215464281</c:v>
                </c:pt>
                <c:pt idx="96">
                  <c:v>0.50377604225778527</c:v>
                </c:pt>
                <c:pt idx="97">
                  <c:v>0.85606838843245958</c:v>
                </c:pt>
                <c:pt idx="98">
                  <c:v>1.2743237214927967</c:v>
                </c:pt>
                <c:pt idx="99">
                  <c:v>1.75893939325579</c:v>
                </c:pt>
                <c:pt idx="100">
                  <c:v>2.3089920798935917</c:v>
                </c:pt>
                <c:pt idx="101">
                  <c:v>2.9224080877040537</c:v>
                </c:pt>
                <c:pt idx="102">
                  <c:v>3.5961137257304081</c:v>
                </c:pt>
                <c:pt idx="103">
                  <c:v>4.32616701239313</c:v>
                </c:pt>
                <c:pt idx="104">
                  <c:v>5.1078957237338702</c:v>
                </c:pt>
                <c:pt idx="105">
                  <c:v>5.9360666816421386</c:v>
                </c:pt>
                <c:pt idx="106">
                  <c:v>6.8050934177338869</c:v>
                </c:pt>
                <c:pt idx="107">
                  <c:v>7.7092682557865899</c:v>
                </c:pt>
                <c:pt idx="108">
                  <c:v>8.6429921174880029</c:v>
                </c:pt>
                <c:pt idx="109">
                  <c:v>9.6009746626655392</c:v>
                </c:pt>
                <c:pt idx="110">
                  <c:v>10.578385643888854</c:v>
                </c:pt>
                <c:pt idx="111">
                  <c:v>11.570949952614042</c:v>
                </c:pt>
                <c:pt idx="112">
                  <c:v>12.574989096418955</c:v>
                </c:pt>
                <c:pt idx="113">
                  <c:v>13.587418473548521</c:v>
                </c:pt>
                <c:pt idx="114">
                  <c:v>14.60571258131694</c:v>
                </c:pt>
                <c:pt idx="115">
                  <c:v>15.627850136715169</c:v>
                </c:pt>
                <c:pt idx="116">
                  <c:v>16.652249231960663</c:v>
                </c:pt>
                <c:pt idx="117">
                  <c:v>17.677700138586829</c:v>
                </c:pt>
                <c:pt idx="118">
                  <c:v>18.703300899470428</c:v>
                </c:pt>
                <c:pt idx="119">
                  <c:v>19.728398764231077</c:v>
                </c:pt>
                <c:pt idx="120">
                  <c:v>20.752538947218703</c:v>
                </c:pt>
                <c:pt idx="121">
                  <c:v>21.775421097919569</c:v>
                </c:pt>
                <c:pt idx="122">
                  <c:v>22.796863186946528</c:v>
                </c:pt>
                <c:pt idx="123">
                  <c:v>23.816772126457654</c:v>
                </c:pt>
                <c:pt idx="124">
                  <c:v>24.835120269628526</c:v>
                </c:pt>
                <c:pt idx="125">
                  <c:v>25.851926895265173</c:v>
                </c:pt>
                <c:pt idx="126">
                  <c:v>26.867243825649958</c:v>
                </c:pt>
                <c:pt idx="127">
                  <c:v>27.881144410034516</c:v>
                </c:pt>
                <c:pt idx="128">
                  <c:v>28.8937152078901</c:v>
                </c:pt>
                <c:pt idx="129">
                  <c:v>29.905049809842541</c:v>
                </c:pt>
                <c:pt idx="130">
                  <c:v>30.91524433158876</c:v>
                </c:pt>
                <c:pt idx="131">
                  <c:v>31.92439420281632</c:v>
                </c:pt>
                <c:pt idx="132">
                  <c:v>32.932591947755064</c:v>
                </c:pt>
                <c:pt idx="133">
                  <c:v>33.939925716591766</c:v>
                </c:pt>
                <c:pt idx="134">
                  <c:v>34.946478378532191</c:v>
                </c:pt>
                <c:pt idx="135">
                  <c:v>35.952327029133855</c:v>
                </c:pt>
                <c:pt idx="136">
                  <c:v>36.957542798090813</c:v>
                </c:pt>
                <c:pt idx="137">
                  <c:v>37.962190870306372</c:v>
                </c:pt>
                <c:pt idx="138">
                  <c:v>38.966330654083471</c:v>
                </c:pt>
                <c:pt idx="139">
                  <c:v>39.970016046675987</c:v>
                </c:pt>
                <c:pt idx="140">
                  <c:v>40.973295760188179</c:v>
                </c:pt>
                <c:pt idx="141">
                  <c:v>41.97621368063939</c:v>
                </c:pt>
                <c:pt idx="142">
                  <c:v>42.978809240543406</c:v>
                </c:pt>
                <c:pt idx="143">
                  <c:v>43.981117791083612</c:v>
                </c:pt>
                <c:pt idx="144">
                  <c:v>44.983170964294239</c:v>
                </c:pt>
                <c:pt idx="145">
                  <c:v>45.984997018900025</c:v>
                </c:pt>
                <c:pt idx="146">
                  <c:v>46.986621165870332</c:v>
                </c:pt>
                <c:pt idx="147">
                  <c:v>47.988065871504993</c:v>
                </c:pt>
                <c:pt idx="148">
                  <c:v>48.989351137139735</c:v>
                </c:pt>
                <c:pt idx="149">
                  <c:v>49.990494755458016</c:v>
                </c:pt>
                <c:pt idx="150">
                  <c:v>50.991512544015201</c:v>
                </c:pt>
                <c:pt idx="151">
                  <c:v>51.992418556990813</c:v>
                </c:pt>
                <c:pt idx="152">
                  <c:v>52.993225276439787</c:v>
                </c:pt>
                <c:pt idx="153">
                  <c:v>53.993943784455084</c:v>
                </c:pt>
                <c:pt idx="154">
                  <c:v>54.994583917714976</c:v>
                </c:pt>
                <c:pt idx="155">
                  <c:v>55.995154405889785</c:v>
                </c:pt>
                <c:pt idx="156">
                  <c:v>56.99566299534635</c:v>
                </c:pt>
                <c:pt idx="157">
                  <c:v>57.996116559524694</c:v>
                </c:pt>
                <c:pt idx="158">
                  <c:v>58.996521197280892</c:v>
                </c:pt>
                <c:pt idx="159">
                  <c:v>59.996882320401902</c:v>
                </c:pt>
                <c:pt idx="160">
                  <c:v>60.997204731404054</c:v>
                </c:pt>
                <c:pt idx="161">
                  <c:v>61.997492692634417</c:v>
                </c:pt>
                <c:pt idx="162">
                  <c:v>62.997749987602674</c:v>
                </c:pt>
                <c:pt idx="163">
                  <c:v>63.997979975384695</c:v>
                </c:pt>
                <c:pt idx="164">
                  <c:v>64.998185638856597</c:v>
                </c:pt>
                <c:pt idx="165">
                  <c:v>65.998369627442131</c:v>
                </c:pt>
                <c:pt idx="166">
                  <c:v>66.998534294985859</c:v>
                </c:pt>
                <c:pt idx="167">
                  <c:v>67.998681733299705</c:v>
                </c:pt>
                <c:pt idx="168">
                  <c:v>68.998813801872544</c:v>
                </c:pt>
                <c:pt idx="169">
                  <c:v>69.99893215417849</c:v>
                </c:pt>
                <c:pt idx="170">
                  <c:v>70.999038260972085</c:v>
                </c:pt>
                <c:pt idx="171">
                  <c:v>71.999133430915364</c:v>
                </c:pt>
                <c:pt idx="172">
                  <c:v>72.999218828842785</c:v>
                </c:pt>
                <c:pt idx="173">
                  <c:v>73.999295491935939</c:v>
                </c:pt>
                <c:pt idx="174">
                  <c:v>74.999364344048587</c:v>
                </c:pt>
                <c:pt idx="175">
                  <c:v>75.999426208395334</c:v>
                </c:pt>
                <c:pt idx="176">
                  <c:v>76.99948181879266</c:v>
                </c:pt>
                <c:pt idx="177">
                  <c:v>77.999531829619485</c:v>
                </c:pt>
                <c:pt idx="178">
                  <c:v>78.999576824644791</c:v>
                </c:pt>
                <c:pt idx="179">
                  <c:v>79.999617324853233</c:v>
                </c:pt>
                <c:pt idx="180">
                  <c:v>80.99965379538402</c:v>
                </c:pt>
                <c:pt idx="181">
                  <c:v>81.999686651685238</c:v>
                </c:pt>
                <c:pt idx="182">
                  <c:v>82.999716264973969</c:v>
                </c:pt>
                <c:pt idx="183">
                  <c:v>83.999742967081772</c:v>
                </c:pt>
                <c:pt idx="184">
                  <c:v>84.99976705475629</c:v>
                </c:pt>
                <c:pt idx="185">
                  <c:v>85.999788793480889</c:v>
                </c:pt>
                <c:pt idx="186">
                  <c:v>86.999808420867893</c:v>
                </c:pt>
                <c:pt idx="187">
                  <c:v>87.999826149673737</c:v>
                </c:pt>
                <c:pt idx="188">
                  <c:v>88.999842170479042</c:v>
                </c:pt>
                <c:pt idx="189">
                  <c:v>89.99985665407209</c:v>
                </c:pt>
                <c:pt idx="190">
                  <c:v>90.99986975356876</c:v>
                </c:pt>
                <c:pt idx="191">
                  <c:v>91.999881606299255</c:v>
                </c:pt>
                <c:pt idx="192">
                  <c:v>92.999892335487502</c:v>
                </c:pt>
                <c:pt idx="193">
                  <c:v>93.999902051746872</c:v>
                </c:pt>
                <c:pt idx="194">
                  <c:v>94.99991085441259</c:v>
                </c:pt>
                <c:pt idx="195">
                  <c:v>95.999918832729293</c:v>
                </c:pt>
                <c:pt idx="196">
                  <c:v>96.999926066909794</c:v>
                </c:pt>
                <c:pt idx="197">
                  <c:v>97.999932629079467</c:v>
                </c:pt>
                <c:pt idx="198">
                  <c:v>98.999938584118823</c:v>
                </c:pt>
                <c:pt idx="199">
                  <c:v>99.999943990415659</c:v>
                </c:pt>
                <c:pt idx="200">
                  <c:v>100.99994890053679</c:v>
                </c:pt>
                <c:pt idx="201">
                  <c:v>101.99995336182803</c:v>
                </c:pt>
                <c:pt idx="202">
                  <c:v>102.99995741695038</c:v>
                </c:pt>
                <c:pt idx="203">
                  <c:v>103.99996110435961</c:v>
                </c:pt>
                <c:pt idx="204">
                  <c:v>104.99996445873494</c:v>
                </c:pt>
                <c:pt idx="205">
                  <c:v>105.9999675113628</c:v>
                </c:pt>
                <c:pt idx="206">
                  <c:v>106.99997029048028</c:v>
                </c:pt>
                <c:pt idx="207">
                  <c:v>107.99997282158276</c:v>
                </c:pt>
                <c:pt idx="208">
                  <c:v>108.99997512769941</c:v>
                </c:pt>
                <c:pt idx="209">
                  <c:v>109.99997722964011</c:v>
                </c:pt>
                <c:pt idx="210">
                  <c:v>110.99997914621694</c:v>
                </c:pt>
                <c:pt idx="211">
                  <c:v>111.99998089444273</c:v>
                </c:pt>
                <c:pt idx="212">
                  <c:v>112.99998248970927</c:v>
                </c:pt>
                <c:pt idx="213">
                  <c:v>113.99998394594731</c:v>
                </c:pt>
                <c:pt idx="214">
                  <c:v>114.99998527577019</c:v>
                </c:pt>
                <c:pt idx="215">
                  <c:v>115.99998649060289</c:v>
                </c:pt>
                <c:pt idx="216">
                  <c:v>116.99998760079806</c:v>
                </c:pt>
                <c:pt idx="217">
                  <c:v>117.99998861574029</c:v>
                </c:pt>
                <c:pt idx="218">
                  <c:v>118.99998954393988</c:v>
                </c:pt>
                <c:pt idx="219">
                  <c:v>119.99999039311723</c:v>
                </c:pt>
                <c:pt idx="220">
                  <c:v>120.999991170279</c:v>
                </c:pt>
                <c:pt idx="221">
                  <c:v>121.99999188178629</c:v>
                </c:pt>
                <c:pt idx="222">
                  <c:v>122.99999253341637</c:v>
                </c:pt>
                <c:pt idx="223">
                  <c:v>123.9999931304183</c:v>
                </c:pt>
                <c:pt idx="224">
                  <c:v>124.99999367756294</c:v>
                </c:pt>
                <c:pt idx="225">
                  <c:v>125.99999417918809</c:v>
                </c:pt>
                <c:pt idx="226">
                  <c:v>126.9999946392393</c:v>
                </c:pt>
                <c:pt idx="227">
                  <c:v>127.99999506130673</c:v>
                </c:pt>
                <c:pt idx="228">
                  <c:v>128.99999544865813</c:v>
                </c:pt>
                <c:pt idx="229">
                  <c:v>129.9999958042691</c:v>
                </c:pt>
                <c:pt idx="230">
                  <c:v>130.99999613085006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5A-495F-A9B3-0137312D6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1369215"/>
        <c:axId val="1421370879"/>
      </c:scatterChart>
      <c:valAx>
        <c:axId val="1421369215"/>
        <c:scaling>
          <c:orientation val="minMax"/>
          <c:max val="11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1370879"/>
        <c:crosses val="autoZero"/>
        <c:crossBetween val="midCat"/>
      </c:valAx>
      <c:valAx>
        <c:axId val="1421370879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1369215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'Approx CDF'!$J$5</c:f>
              <c:strCache>
                <c:ptCount val="1"/>
                <c:pt idx="0">
                  <c:v>sigmoid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'Approx CDF'!$I$6:$I$146</c:f>
              <c:numCache>
                <c:formatCode>General</c:formatCode>
                <c:ptCount val="141"/>
                <c:pt idx="0">
                  <c:v>-7</c:v>
                </c:pt>
                <c:pt idx="1">
                  <c:v>-6.9</c:v>
                </c:pt>
                <c:pt idx="2">
                  <c:v>-6.8000000000000007</c:v>
                </c:pt>
                <c:pt idx="3">
                  <c:v>-6.7000000000000011</c:v>
                </c:pt>
                <c:pt idx="4">
                  <c:v>-6.6000000000000014</c:v>
                </c:pt>
                <c:pt idx="5">
                  <c:v>-6.5000000000000018</c:v>
                </c:pt>
                <c:pt idx="6">
                  <c:v>-6.4000000000000021</c:v>
                </c:pt>
                <c:pt idx="7">
                  <c:v>-6.3000000000000025</c:v>
                </c:pt>
                <c:pt idx="8">
                  <c:v>-6.2000000000000028</c:v>
                </c:pt>
                <c:pt idx="9">
                  <c:v>-6.1000000000000032</c:v>
                </c:pt>
                <c:pt idx="10">
                  <c:v>-6.0000000000000036</c:v>
                </c:pt>
                <c:pt idx="11">
                  <c:v>-5.9000000000000039</c:v>
                </c:pt>
                <c:pt idx="12">
                  <c:v>-5.8000000000000043</c:v>
                </c:pt>
                <c:pt idx="13">
                  <c:v>-5.7000000000000046</c:v>
                </c:pt>
                <c:pt idx="14">
                  <c:v>-5.600000000000005</c:v>
                </c:pt>
                <c:pt idx="15">
                  <c:v>-5.5000000000000053</c:v>
                </c:pt>
                <c:pt idx="16">
                  <c:v>-5.4000000000000057</c:v>
                </c:pt>
                <c:pt idx="17">
                  <c:v>-5.300000000000006</c:v>
                </c:pt>
                <c:pt idx="18">
                  <c:v>-5.2000000000000064</c:v>
                </c:pt>
                <c:pt idx="19">
                  <c:v>-5.1000000000000068</c:v>
                </c:pt>
                <c:pt idx="20">
                  <c:v>-5.0000000000000071</c:v>
                </c:pt>
                <c:pt idx="21">
                  <c:v>-4.9000000000000075</c:v>
                </c:pt>
                <c:pt idx="22">
                  <c:v>-4.8000000000000078</c:v>
                </c:pt>
                <c:pt idx="23">
                  <c:v>-4.7000000000000082</c:v>
                </c:pt>
                <c:pt idx="24">
                  <c:v>-4.6000000000000085</c:v>
                </c:pt>
                <c:pt idx="25">
                  <c:v>-4.5000000000000089</c:v>
                </c:pt>
                <c:pt idx="26">
                  <c:v>-4.4000000000000092</c:v>
                </c:pt>
                <c:pt idx="27">
                  <c:v>-4.3000000000000096</c:v>
                </c:pt>
                <c:pt idx="28">
                  <c:v>-4.2000000000000099</c:v>
                </c:pt>
                <c:pt idx="29">
                  <c:v>-4.1000000000000103</c:v>
                </c:pt>
                <c:pt idx="30">
                  <c:v>-4.0000000000000107</c:v>
                </c:pt>
                <c:pt idx="31">
                  <c:v>-3.9000000000000106</c:v>
                </c:pt>
                <c:pt idx="32">
                  <c:v>-3.8000000000000105</c:v>
                </c:pt>
                <c:pt idx="33">
                  <c:v>-3.7000000000000104</c:v>
                </c:pt>
                <c:pt idx="34">
                  <c:v>-3.6000000000000103</c:v>
                </c:pt>
                <c:pt idx="35">
                  <c:v>-3.5000000000000102</c:v>
                </c:pt>
                <c:pt idx="36">
                  <c:v>-3.4000000000000101</c:v>
                </c:pt>
                <c:pt idx="37">
                  <c:v>-3.30000000000001</c:v>
                </c:pt>
                <c:pt idx="38">
                  <c:v>-3.2000000000000099</c:v>
                </c:pt>
                <c:pt idx="39">
                  <c:v>-3.1000000000000099</c:v>
                </c:pt>
                <c:pt idx="40">
                  <c:v>-3.0000000000000098</c:v>
                </c:pt>
                <c:pt idx="41">
                  <c:v>-2.9000000000000097</c:v>
                </c:pt>
                <c:pt idx="42">
                  <c:v>-2.8000000000000096</c:v>
                </c:pt>
                <c:pt idx="43">
                  <c:v>-2.7000000000000095</c:v>
                </c:pt>
                <c:pt idx="44">
                  <c:v>-2.6000000000000094</c:v>
                </c:pt>
                <c:pt idx="45">
                  <c:v>-2.5000000000000093</c:v>
                </c:pt>
                <c:pt idx="46">
                  <c:v>-2.4000000000000092</c:v>
                </c:pt>
                <c:pt idx="47">
                  <c:v>-2.3000000000000091</c:v>
                </c:pt>
                <c:pt idx="48">
                  <c:v>-2.2000000000000091</c:v>
                </c:pt>
                <c:pt idx="49">
                  <c:v>-2.100000000000009</c:v>
                </c:pt>
                <c:pt idx="50">
                  <c:v>-2.0000000000000089</c:v>
                </c:pt>
                <c:pt idx="51">
                  <c:v>-1.9000000000000088</c:v>
                </c:pt>
                <c:pt idx="52">
                  <c:v>-1.8000000000000087</c:v>
                </c:pt>
                <c:pt idx="53">
                  <c:v>-1.7000000000000086</c:v>
                </c:pt>
                <c:pt idx="54">
                  <c:v>-1.6000000000000085</c:v>
                </c:pt>
                <c:pt idx="55">
                  <c:v>-1.5000000000000084</c:v>
                </c:pt>
                <c:pt idx="56">
                  <c:v>-1.4000000000000083</c:v>
                </c:pt>
                <c:pt idx="57">
                  <c:v>-1.3000000000000083</c:v>
                </c:pt>
                <c:pt idx="58">
                  <c:v>-1.2000000000000082</c:v>
                </c:pt>
                <c:pt idx="59">
                  <c:v>-1.1000000000000081</c:v>
                </c:pt>
                <c:pt idx="60">
                  <c:v>-1.000000000000008</c:v>
                </c:pt>
                <c:pt idx="61">
                  <c:v>-0.90000000000000802</c:v>
                </c:pt>
                <c:pt idx="62">
                  <c:v>-0.80000000000000804</c:v>
                </c:pt>
                <c:pt idx="63">
                  <c:v>-0.70000000000000806</c:v>
                </c:pt>
                <c:pt idx="64">
                  <c:v>-0.60000000000000808</c:v>
                </c:pt>
                <c:pt idx="65">
                  <c:v>-0.5000000000000081</c:v>
                </c:pt>
                <c:pt idx="66">
                  <c:v>-0.40000000000000813</c:v>
                </c:pt>
                <c:pt idx="67">
                  <c:v>-0.30000000000000815</c:v>
                </c:pt>
                <c:pt idx="68">
                  <c:v>-0.20000000000000814</c:v>
                </c:pt>
                <c:pt idx="69">
                  <c:v>-0.10000000000000814</c:v>
                </c:pt>
                <c:pt idx="70">
                  <c:v>-8.1323836553792717E-15</c:v>
                </c:pt>
                <c:pt idx="71">
                  <c:v>9.9999999999991873E-2</c:v>
                </c:pt>
                <c:pt idx="72">
                  <c:v>0.19999999999999188</c:v>
                </c:pt>
                <c:pt idx="73">
                  <c:v>0.29999999999999188</c:v>
                </c:pt>
                <c:pt idx="74">
                  <c:v>0.39999999999999192</c:v>
                </c:pt>
                <c:pt idx="75">
                  <c:v>0.4999999999999919</c:v>
                </c:pt>
                <c:pt idx="76">
                  <c:v>0.59999999999999187</c:v>
                </c:pt>
                <c:pt idx="77">
                  <c:v>0.69999999999999185</c:v>
                </c:pt>
                <c:pt idx="78">
                  <c:v>0.79999999999999183</c:v>
                </c:pt>
                <c:pt idx="79">
                  <c:v>0.89999999999999181</c:v>
                </c:pt>
                <c:pt idx="80">
                  <c:v>0.99999999999999178</c:v>
                </c:pt>
                <c:pt idx="81">
                  <c:v>1.0999999999999919</c:v>
                </c:pt>
                <c:pt idx="82">
                  <c:v>1.199999999999992</c:v>
                </c:pt>
                <c:pt idx="83">
                  <c:v>1.2999999999999921</c:v>
                </c:pt>
                <c:pt idx="84">
                  <c:v>1.3999999999999921</c:v>
                </c:pt>
                <c:pt idx="85">
                  <c:v>1.4999999999999922</c:v>
                </c:pt>
                <c:pt idx="86">
                  <c:v>1.5999999999999923</c:v>
                </c:pt>
                <c:pt idx="87">
                  <c:v>1.6999999999999924</c:v>
                </c:pt>
                <c:pt idx="88">
                  <c:v>1.7999999999999925</c:v>
                </c:pt>
                <c:pt idx="89">
                  <c:v>1.8999999999999926</c:v>
                </c:pt>
                <c:pt idx="90">
                  <c:v>1.9999999999999927</c:v>
                </c:pt>
                <c:pt idx="91">
                  <c:v>2.0999999999999925</c:v>
                </c:pt>
                <c:pt idx="92">
                  <c:v>2.1999999999999926</c:v>
                </c:pt>
                <c:pt idx="93">
                  <c:v>2.2999999999999927</c:v>
                </c:pt>
                <c:pt idx="94">
                  <c:v>2.3999999999999928</c:v>
                </c:pt>
                <c:pt idx="95">
                  <c:v>2.4999999999999929</c:v>
                </c:pt>
                <c:pt idx="96">
                  <c:v>2.599999999999993</c:v>
                </c:pt>
                <c:pt idx="97">
                  <c:v>2.6999999999999931</c:v>
                </c:pt>
                <c:pt idx="98">
                  <c:v>2.7999999999999932</c:v>
                </c:pt>
                <c:pt idx="99">
                  <c:v>2.8999999999999932</c:v>
                </c:pt>
                <c:pt idx="100">
                  <c:v>2.9999999999999933</c:v>
                </c:pt>
                <c:pt idx="101">
                  <c:v>3.0999999999999934</c:v>
                </c:pt>
                <c:pt idx="102">
                  <c:v>3.1999999999999935</c:v>
                </c:pt>
                <c:pt idx="103">
                  <c:v>3.2999999999999936</c:v>
                </c:pt>
                <c:pt idx="104">
                  <c:v>3.3999999999999937</c:v>
                </c:pt>
                <c:pt idx="105">
                  <c:v>3.4999999999999938</c:v>
                </c:pt>
                <c:pt idx="106">
                  <c:v>3.5999999999999939</c:v>
                </c:pt>
                <c:pt idx="107">
                  <c:v>3.699999999999994</c:v>
                </c:pt>
                <c:pt idx="108">
                  <c:v>3.799999999999994</c:v>
                </c:pt>
                <c:pt idx="109">
                  <c:v>3.8999999999999941</c:v>
                </c:pt>
                <c:pt idx="110">
                  <c:v>3.9999999999999942</c:v>
                </c:pt>
                <c:pt idx="111">
                  <c:v>4.0999999999999943</c:v>
                </c:pt>
                <c:pt idx="112">
                  <c:v>4.199999999999994</c:v>
                </c:pt>
                <c:pt idx="113">
                  <c:v>4.2999999999999936</c:v>
                </c:pt>
                <c:pt idx="114">
                  <c:v>4.3999999999999932</c:v>
                </c:pt>
                <c:pt idx="115">
                  <c:v>4.4999999999999929</c:v>
                </c:pt>
                <c:pt idx="116">
                  <c:v>4.5999999999999925</c:v>
                </c:pt>
                <c:pt idx="117">
                  <c:v>4.6999999999999922</c:v>
                </c:pt>
                <c:pt idx="118">
                  <c:v>4.7999999999999918</c:v>
                </c:pt>
                <c:pt idx="119">
                  <c:v>4.8999999999999915</c:v>
                </c:pt>
                <c:pt idx="120">
                  <c:v>4.9999999999999911</c:v>
                </c:pt>
                <c:pt idx="121">
                  <c:v>5.0999999999999908</c:v>
                </c:pt>
                <c:pt idx="122">
                  <c:v>5.1999999999999904</c:v>
                </c:pt>
                <c:pt idx="123">
                  <c:v>5.2999999999999901</c:v>
                </c:pt>
                <c:pt idx="124">
                  <c:v>5.3999999999999897</c:v>
                </c:pt>
                <c:pt idx="125">
                  <c:v>5.4999999999999893</c:v>
                </c:pt>
                <c:pt idx="126">
                  <c:v>5.599999999999989</c:v>
                </c:pt>
                <c:pt idx="127">
                  <c:v>5.6999999999999886</c:v>
                </c:pt>
                <c:pt idx="128">
                  <c:v>5.7999999999999883</c:v>
                </c:pt>
                <c:pt idx="129">
                  <c:v>5.8999999999999879</c:v>
                </c:pt>
                <c:pt idx="130">
                  <c:v>5.9999999999999876</c:v>
                </c:pt>
                <c:pt idx="131">
                  <c:v>6.0999999999999872</c:v>
                </c:pt>
                <c:pt idx="132">
                  <c:v>6.1999999999999869</c:v>
                </c:pt>
                <c:pt idx="133">
                  <c:v>6.2999999999999865</c:v>
                </c:pt>
                <c:pt idx="134">
                  <c:v>6.3999999999999861</c:v>
                </c:pt>
                <c:pt idx="135">
                  <c:v>6.4999999999999858</c:v>
                </c:pt>
                <c:pt idx="136">
                  <c:v>6.5999999999999854</c:v>
                </c:pt>
                <c:pt idx="137">
                  <c:v>6.6999999999999851</c:v>
                </c:pt>
                <c:pt idx="138">
                  <c:v>6.7999999999999847</c:v>
                </c:pt>
                <c:pt idx="139">
                  <c:v>6.8999999999999844</c:v>
                </c:pt>
                <c:pt idx="140">
                  <c:v>6.999999999999984</c:v>
                </c:pt>
              </c:numCache>
            </c:numRef>
          </c:xVal>
          <c:yVal>
            <c:numRef>
              <c:f>'Approx CDF'!$J$6:$J$146</c:f>
              <c:numCache>
                <c:formatCode>General</c:formatCode>
                <c:ptCount val="141"/>
                <c:pt idx="0">
                  <c:v>6.7434010299622429E-6</c:v>
                </c:pt>
                <c:pt idx="1">
                  <c:v>7.9937683797051992E-6</c:v>
                </c:pt>
                <c:pt idx="2">
                  <c:v>9.475977746160184E-6</c:v>
                </c:pt>
                <c:pt idx="3">
                  <c:v>1.1233016182353137E-5</c:v>
                </c:pt>
                <c:pt idx="4">
                  <c:v>1.3315840837141774E-5</c:v>
                </c:pt>
                <c:pt idx="5">
                  <c:v>1.5784856519717863E-5</c:v>
                </c:pt>
                <c:pt idx="6">
                  <c:v>1.8711667128412467E-5</c:v>
                </c:pt>
                <c:pt idx="7">
                  <c:v>2.2181151680125528E-5</c:v>
                </c:pt>
                <c:pt idx="8">
                  <c:v>2.6293925066423749E-5</c:v>
                </c:pt>
                <c:pt idx="9">
                  <c:v>3.1169254785877718E-5</c:v>
                </c:pt>
                <c:pt idx="10">
                  <c:v>3.694851807808076E-5</c:v>
                </c:pt>
                <c:pt idx="11">
                  <c:v>4.3799299489433882E-5</c:v>
                </c:pt>
                <c:pt idx="12">
                  <c:v>5.1920247378729844E-5</c:v>
                </c:pt>
                <c:pt idx="13">
                  <c:v>6.1546829746449226E-5</c:v>
                </c:pt>
                <c:pt idx="14">
                  <c:v>7.2958155664094924E-5</c:v>
                </c:pt>
                <c:pt idx="15">
                  <c:v>8.6485059217492952E-5</c:v>
                </c:pt>
                <c:pt idx="16">
                  <c:v>1.0251967911806633E-4</c:v>
                </c:pt>
                <c:pt idx="17">
                  <c:v>1.215268099857188E-4</c:v>
                </c:pt>
                <c:pt idx="18">
                  <c:v>1.4405735194716711E-4</c:v>
                </c:pt>
                <c:pt idx="19">
                  <c:v>1.7076424500633408E-4</c:v>
                </c:pt>
                <c:pt idx="20">
                  <c:v>2.0242134524175119E-4</c:v>
                </c:pt>
                <c:pt idx="21">
                  <c:v>2.3994578314650054E-4</c:v>
                </c:pt>
                <c:pt idx="22">
                  <c:v>2.8442444252405952E-4</c:v>
                </c:pt>
                <c:pt idx="23">
                  <c:v>3.3714531379713315E-4</c:v>
                </c:pt>
                <c:pt idx="24">
                  <c:v>3.9963461125257086E-4</c:v>
                </c:pt>
                <c:pt idx="25">
                  <c:v>4.737007029068302E-4</c:v>
                </c:pt>
                <c:pt idx="26">
                  <c:v>5.6148608802224817E-4</c:v>
                </c:pt>
                <c:pt idx="27">
                  <c:v>6.6552887494054143E-4</c:v>
                </c:pt>
                <c:pt idx="28">
                  <c:v>7.8883546532072378E-4</c:v>
                </c:pt>
                <c:pt idx="29">
                  <c:v>9.3496644488120118E-4</c:v>
                </c:pt>
                <c:pt idx="30">
                  <c:v>1.1081380203235808E-3</c:v>
                </c:pt>
                <c:pt idx="31">
                  <c:v>1.3133417321458348E-3</c:v>
                </c:pt>
                <c:pt idx="32">
                  <c:v>1.5564856179282377E-3</c:v>
                </c:pt>
                <c:pt idx="33">
                  <c:v>1.8445605036659929E-3</c:v>
                </c:pt>
                <c:pt idx="34">
                  <c:v>2.1858356630256202E-3</c:v>
                </c:pt>
                <c:pt idx="35">
                  <c:v>2.5900887037533732E-3</c:v>
                </c:pt>
                <c:pt idx="36">
                  <c:v>3.0688752091292282E-3</c:v>
                </c:pt>
                <c:pt idx="37">
                  <c:v>3.6358443642866296E-3</c:v>
                </c:pt>
                <c:pt idx="38">
                  <c:v>4.3071075040486996E-3</c:v>
                </c:pt>
                <c:pt idx="39">
                  <c:v>5.1016671845089748E-3</c:v>
                </c:pt>
                <c:pt idx="40">
                  <c:v>6.0419149334948082E-3</c:v>
                </c:pt>
                <c:pt idx="41">
                  <c:v>7.1542061686763487E-3</c:v>
                </c:pt>
                <c:pt idx="42">
                  <c:v>8.4695207316049636E-3</c:v>
                </c:pt>
                <c:pt idx="43">
                  <c:v>1.0024216851813105E-2</c:v>
                </c:pt>
                <c:pt idx="44">
                  <c:v>1.1860884822590479E-2</c:v>
                </c:pt>
                <c:pt idx="45">
                  <c:v>1.4029303825447949E-2</c:v>
                </c:pt>
                <c:pt idx="46">
                  <c:v>1.6587500634801845E-2</c:v>
                </c:pt>
                <c:pt idx="47">
                  <c:v>1.9602901659411698E-2</c:v>
                </c:pt>
                <c:pt idx="48">
                  <c:v>2.3153559047234051E-2</c:v>
                </c:pt>
                <c:pt idx="49">
                  <c:v>2.732941633654062E-2</c:v>
                </c:pt>
                <c:pt idx="50">
                  <c:v>3.2233558187885196E-2</c:v>
                </c:pt>
                <c:pt idx="51">
                  <c:v>3.7983360868255121E-2</c:v>
                </c:pt>
                <c:pt idx="52">
                  <c:v>4.4711424372714935E-2</c:v>
                </c:pt>
                <c:pt idx="53">
                  <c:v>5.2566122943540163E-2</c:v>
                </c:pt>
                <c:pt idx="54">
                  <c:v>6.1711559071766717E-2</c:v>
                </c:pt>
                <c:pt idx="55">
                  <c:v>7.2326649726151854E-2</c:v>
                </c:pt>
                <c:pt idx="56">
                  <c:v>8.4603018693380272E-2</c:v>
                </c:pt>
                <c:pt idx="57">
                  <c:v>9.8741326256287579E-2</c:v>
                </c:pt>
                <c:pt idx="58">
                  <c:v>0.1149456534523898</c:v>
                </c:pt>
                <c:pt idx="59">
                  <c:v>0.13341559542095832</c:v>
                </c:pt>
                <c:pt idx="60">
                  <c:v>0.15433583411239463</c:v>
                </c:pt>
                <c:pt idx="61">
                  <c:v>0.17786318228175421</c:v>
                </c:pt>
                <c:pt idx="62">
                  <c:v>0.20411143692445169</c:v>
                </c:pt>
                <c:pt idx="63">
                  <c:v>0.2331348478952375</c:v>
                </c:pt>
                <c:pt idx="64">
                  <c:v>0.26491155556754137</c:v>
                </c:pt>
                <c:pt idx="65">
                  <c:v>0.29932888927487977</c:v>
                </c:pt>
                <c:pt idx="66">
                  <c:v>0.33617280519483039</c:v>
                </c:pt>
                <c:pt idx="67">
                  <c:v>0.37512380981656501</c:v>
                </c:pt>
                <c:pt idx="68">
                  <c:v>0.4157613159717401</c:v>
                </c:pt>
                <c:pt idx="69">
                  <c:v>0.45757745391378307</c:v>
                </c:pt>
                <c:pt idx="70">
                  <c:v>0.49999999999999656</c:v>
                </c:pt>
                <c:pt idx="71">
                  <c:v>0.54242254608620999</c:v>
                </c:pt>
                <c:pt idx="72">
                  <c:v>0.58423868402825319</c:v>
                </c:pt>
                <c:pt idx="73">
                  <c:v>0.62487619018342844</c:v>
                </c:pt>
                <c:pt idx="74">
                  <c:v>0.6638271948051635</c:v>
                </c:pt>
                <c:pt idx="75">
                  <c:v>0.70067111072511445</c:v>
                </c:pt>
                <c:pt idx="76">
                  <c:v>0.73508844443245336</c:v>
                </c:pt>
                <c:pt idx="77">
                  <c:v>0.76686515210475759</c:v>
                </c:pt>
                <c:pt idx="78">
                  <c:v>0.7958885630755439</c:v>
                </c:pt>
                <c:pt idx="79">
                  <c:v>0.82213681771824176</c:v>
                </c:pt>
                <c:pt idx="80">
                  <c:v>0.84566416588760174</c:v>
                </c:pt>
                <c:pt idx="81">
                  <c:v>0.8665844045790384</c:v>
                </c:pt>
                <c:pt idx="82">
                  <c:v>0.88505434654760728</c:v>
                </c:pt>
                <c:pt idx="83">
                  <c:v>0.90125867374371005</c:v>
                </c:pt>
                <c:pt idx="84">
                  <c:v>0.91539698130661751</c:v>
                </c:pt>
                <c:pt idx="85">
                  <c:v>0.92767335027384634</c:v>
                </c:pt>
                <c:pt idx="86">
                  <c:v>0.9382884409282316</c:v>
                </c:pt>
                <c:pt idx="87">
                  <c:v>0.94743387705645854</c:v>
                </c:pt>
                <c:pt idx="88">
                  <c:v>0.95528857562728386</c:v>
                </c:pt>
                <c:pt idx="89">
                  <c:v>0.96201663913174373</c:v>
                </c:pt>
                <c:pt idx="90">
                  <c:v>0.96776644181211391</c:v>
                </c:pt>
                <c:pt idx="91">
                  <c:v>0.9726705836634586</c:v>
                </c:pt>
                <c:pt idx="92">
                  <c:v>0.97684644095276529</c:v>
                </c:pt>
                <c:pt idx="93">
                  <c:v>0.98039709834058786</c:v>
                </c:pt>
                <c:pt idx="94">
                  <c:v>0.9834124993651977</c:v>
                </c:pt>
                <c:pt idx="95">
                  <c:v>0.9859706961745518</c:v>
                </c:pt>
                <c:pt idx="96">
                  <c:v>0.98813911517740927</c:v>
                </c:pt>
                <c:pt idx="97">
                  <c:v>0.98997578314818657</c:v>
                </c:pt>
                <c:pt idx="98">
                  <c:v>0.99153047926839477</c:v>
                </c:pt>
                <c:pt idx="99">
                  <c:v>0.99284579383132343</c:v>
                </c:pt>
                <c:pt idx="100">
                  <c:v>0.99395808506650507</c:v>
                </c:pt>
                <c:pt idx="101">
                  <c:v>0.99489833281549089</c:v>
                </c:pt>
                <c:pt idx="102">
                  <c:v>0.99569289249595128</c:v>
                </c:pt>
                <c:pt idx="103">
                  <c:v>0.99636415563571334</c:v>
                </c:pt>
                <c:pt idx="104">
                  <c:v>0.99693112479087065</c:v>
                </c:pt>
                <c:pt idx="105">
                  <c:v>0.99740991129624645</c:v>
                </c:pt>
                <c:pt idx="106">
                  <c:v>0.99781416433697423</c:v>
                </c:pt>
                <c:pt idx="107">
                  <c:v>0.99815543949633401</c:v>
                </c:pt>
                <c:pt idx="108">
                  <c:v>0.9984435143820718</c:v>
                </c:pt>
                <c:pt idx="109">
                  <c:v>0.99868665826785419</c:v>
                </c:pt>
                <c:pt idx="110">
                  <c:v>0.99889186197967639</c:v>
                </c:pt>
                <c:pt idx="111">
                  <c:v>0.99906503355511866</c:v>
                </c:pt>
                <c:pt idx="112">
                  <c:v>0.99921116453467917</c:v>
                </c:pt>
                <c:pt idx="113">
                  <c:v>0.99933447112505958</c:v>
                </c:pt>
                <c:pt idx="114">
                  <c:v>0.9994385139119778</c:v>
                </c:pt>
                <c:pt idx="115">
                  <c:v>0.99952629929709313</c:v>
                </c:pt>
                <c:pt idx="116">
                  <c:v>0.9996003653887473</c:v>
                </c:pt>
                <c:pt idx="117">
                  <c:v>0.99966285468620297</c:v>
                </c:pt>
                <c:pt idx="118">
                  <c:v>0.99971557555747592</c:v>
                </c:pt>
                <c:pt idx="119">
                  <c:v>0.99976005421685343</c:v>
                </c:pt>
                <c:pt idx="120">
                  <c:v>0.99979757865475816</c:v>
                </c:pt>
                <c:pt idx="121">
                  <c:v>0.99982923575499372</c:v>
                </c:pt>
                <c:pt idx="122">
                  <c:v>0.99985594264805289</c:v>
                </c:pt>
                <c:pt idx="123">
                  <c:v>0.99987847319001433</c:v>
                </c:pt>
                <c:pt idx="124">
                  <c:v>0.99989748032088199</c:v>
                </c:pt>
                <c:pt idx="125">
                  <c:v>0.99991351494078251</c:v>
                </c:pt>
                <c:pt idx="126">
                  <c:v>0.9999270418443359</c:v>
                </c:pt>
                <c:pt idx="127">
                  <c:v>0.99993845317025343</c:v>
                </c:pt>
                <c:pt idx="128">
                  <c:v>0.99994807975262134</c:v>
                </c:pt>
                <c:pt idx="129">
                  <c:v>0.99995620070051061</c:v>
                </c:pt>
                <c:pt idx="130">
                  <c:v>0.99996305148192199</c:v>
                </c:pt>
                <c:pt idx="131">
                  <c:v>0.99996883074521403</c:v>
                </c:pt>
                <c:pt idx="132">
                  <c:v>0.99997370607493363</c:v>
                </c:pt>
                <c:pt idx="133">
                  <c:v>0.99997781884831993</c:v>
                </c:pt>
                <c:pt idx="134">
                  <c:v>0.99998128833287159</c:v>
                </c:pt>
                <c:pt idx="135">
                  <c:v>0.99998421514348013</c:v>
                </c:pt>
                <c:pt idx="136">
                  <c:v>0.99998668415916292</c:v>
                </c:pt>
                <c:pt idx="137">
                  <c:v>0.99998876698381756</c:v>
                </c:pt>
                <c:pt idx="138">
                  <c:v>0.99999052402225397</c:v>
                </c:pt>
                <c:pt idx="139">
                  <c:v>0.99999200623162032</c:v>
                </c:pt>
                <c:pt idx="140">
                  <c:v>0.99999325659897009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8B-4DD4-86B5-71D7B38F1D14}"/>
            </c:ext>
          </c:extLst>
        </c:ser>
        <c:ser>
          <c:idx val="1"/>
          <c:order val="1"/>
          <c:tx>
            <c:strRef>
              <c:f>'Approx CDF'!$K$5</c:f>
              <c:strCache>
                <c:ptCount val="1"/>
                <c:pt idx="0">
                  <c:v>cdf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'Approx CDF'!$I$6:$I$146</c:f>
              <c:numCache>
                <c:formatCode>General</c:formatCode>
                <c:ptCount val="141"/>
                <c:pt idx="0">
                  <c:v>-7</c:v>
                </c:pt>
                <c:pt idx="1">
                  <c:v>-6.9</c:v>
                </c:pt>
                <c:pt idx="2">
                  <c:v>-6.8000000000000007</c:v>
                </c:pt>
                <c:pt idx="3">
                  <c:v>-6.7000000000000011</c:v>
                </c:pt>
                <c:pt idx="4">
                  <c:v>-6.6000000000000014</c:v>
                </c:pt>
                <c:pt idx="5">
                  <c:v>-6.5000000000000018</c:v>
                </c:pt>
                <c:pt idx="6">
                  <c:v>-6.4000000000000021</c:v>
                </c:pt>
                <c:pt idx="7">
                  <c:v>-6.3000000000000025</c:v>
                </c:pt>
                <c:pt idx="8">
                  <c:v>-6.2000000000000028</c:v>
                </c:pt>
                <c:pt idx="9">
                  <c:v>-6.1000000000000032</c:v>
                </c:pt>
                <c:pt idx="10">
                  <c:v>-6.0000000000000036</c:v>
                </c:pt>
                <c:pt idx="11">
                  <c:v>-5.9000000000000039</c:v>
                </c:pt>
                <c:pt idx="12">
                  <c:v>-5.8000000000000043</c:v>
                </c:pt>
                <c:pt idx="13">
                  <c:v>-5.7000000000000046</c:v>
                </c:pt>
                <c:pt idx="14">
                  <c:v>-5.600000000000005</c:v>
                </c:pt>
                <c:pt idx="15">
                  <c:v>-5.5000000000000053</c:v>
                </c:pt>
                <c:pt idx="16">
                  <c:v>-5.4000000000000057</c:v>
                </c:pt>
                <c:pt idx="17">
                  <c:v>-5.300000000000006</c:v>
                </c:pt>
                <c:pt idx="18">
                  <c:v>-5.2000000000000064</c:v>
                </c:pt>
                <c:pt idx="19">
                  <c:v>-5.1000000000000068</c:v>
                </c:pt>
                <c:pt idx="20">
                  <c:v>-5.0000000000000071</c:v>
                </c:pt>
                <c:pt idx="21">
                  <c:v>-4.9000000000000075</c:v>
                </c:pt>
                <c:pt idx="22">
                  <c:v>-4.8000000000000078</c:v>
                </c:pt>
                <c:pt idx="23">
                  <c:v>-4.7000000000000082</c:v>
                </c:pt>
                <c:pt idx="24">
                  <c:v>-4.6000000000000085</c:v>
                </c:pt>
                <c:pt idx="25">
                  <c:v>-4.5000000000000089</c:v>
                </c:pt>
                <c:pt idx="26">
                  <c:v>-4.4000000000000092</c:v>
                </c:pt>
                <c:pt idx="27">
                  <c:v>-4.3000000000000096</c:v>
                </c:pt>
                <c:pt idx="28">
                  <c:v>-4.2000000000000099</c:v>
                </c:pt>
                <c:pt idx="29">
                  <c:v>-4.1000000000000103</c:v>
                </c:pt>
                <c:pt idx="30">
                  <c:v>-4.0000000000000107</c:v>
                </c:pt>
                <c:pt idx="31">
                  <c:v>-3.9000000000000106</c:v>
                </c:pt>
                <c:pt idx="32">
                  <c:v>-3.8000000000000105</c:v>
                </c:pt>
                <c:pt idx="33">
                  <c:v>-3.7000000000000104</c:v>
                </c:pt>
                <c:pt idx="34">
                  <c:v>-3.6000000000000103</c:v>
                </c:pt>
                <c:pt idx="35">
                  <c:v>-3.5000000000000102</c:v>
                </c:pt>
                <c:pt idx="36">
                  <c:v>-3.4000000000000101</c:v>
                </c:pt>
                <c:pt idx="37">
                  <c:v>-3.30000000000001</c:v>
                </c:pt>
                <c:pt idx="38">
                  <c:v>-3.2000000000000099</c:v>
                </c:pt>
                <c:pt idx="39">
                  <c:v>-3.1000000000000099</c:v>
                </c:pt>
                <c:pt idx="40">
                  <c:v>-3.0000000000000098</c:v>
                </c:pt>
                <c:pt idx="41">
                  <c:v>-2.9000000000000097</c:v>
                </c:pt>
                <c:pt idx="42">
                  <c:v>-2.8000000000000096</c:v>
                </c:pt>
                <c:pt idx="43">
                  <c:v>-2.7000000000000095</c:v>
                </c:pt>
                <c:pt idx="44">
                  <c:v>-2.6000000000000094</c:v>
                </c:pt>
                <c:pt idx="45">
                  <c:v>-2.5000000000000093</c:v>
                </c:pt>
                <c:pt idx="46">
                  <c:v>-2.4000000000000092</c:v>
                </c:pt>
                <c:pt idx="47">
                  <c:v>-2.3000000000000091</c:v>
                </c:pt>
                <c:pt idx="48">
                  <c:v>-2.2000000000000091</c:v>
                </c:pt>
                <c:pt idx="49">
                  <c:v>-2.100000000000009</c:v>
                </c:pt>
                <c:pt idx="50">
                  <c:v>-2.0000000000000089</c:v>
                </c:pt>
                <c:pt idx="51">
                  <c:v>-1.9000000000000088</c:v>
                </c:pt>
                <c:pt idx="52">
                  <c:v>-1.8000000000000087</c:v>
                </c:pt>
                <c:pt idx="53">
                  <c:v>-1.7000000000000086</c:v>
                </c:pt>
                <c:pt idx="54">
                  <c:v>-1.6000000000000085</c:v>
                </c:pt>
                <c:pt idx="55">
                  <c:v>-1.5000000000000084</c:v>
                </c:pt>
                <c:pt idx="56">
                  <c:v>-1.4000000000000083</c:v>
                </c:pt>
                <c:pt idx="57">
                  <c:v>-1.3000000000000083</c:v>
                </c:pt>
                <c:pt idx="58">
                  <c:v>-1.2000000000000082</c:v>
                </c:pt>
                <c:pt idx="59">
                  <c:v>-1.1000000000000081</c:v>
                </c:pt>
                <c:pt idx="60">
                  <c:v>-1.000000000000008</c:v>
                </c:pt>
                <c:pt idx="61">
                  <c:v>-0.90000000000000802</c:v>
                </c:pt>
                <c:pt idx="62">
                  <c:v>-0.80000000000000804</c:v>
                </c:pt>
                <c:pt idx="63">
                  <c:v>-0.70000000000000806</c:v>
                </c:pt>
                <c:pt idx="64">
                  <c:v>-0.60000000000000808</c:v>
                </c:pt>
                <c:pt idx="65">
                  <c:v>-0.5000000000000081</c:v>
                </c:pt>
                <c:pt idx="66">
                  <c:v>-0.40000000000000813</c:v>
                </c:pt>
                <c:pt idx="67">
                  <c:v>-0.30000000000000815</c:v>
                </c:pt>
                <c:pt idx="68">
                  <c:v>-0.20000000000000814</c:v>
                </c:pt>
                <c:pt idx="69">
                  <c:v>-0.10000000000000814</c:v>
                </c:pt>
                <c:pt idx="70">
                  <c:v>-8.1323836553792717E-15</c:v>
                </c:pt>
                <c:pt idx="71">
                  <c:v>9.9999999999991873E-2</c:v>
                </c:pt>
                <c:pt idx="72">
                  <c:v>0.19999999999999188</c:v>
                </c:pt>
                <c:pt idx="73">
                  <c:v>0.29999999999999188</c:v>
                </c:pt>
                <c:pt idx="74">
                  <c:v>0.39999999999999192</c:v>
                </c:pt>
                <c:pt idx="75">
                  <c:v>0.4999999999999919</c:v>
                </c:pt>
                <c:pt idx="76">
                  <c:v>0.59999999999999187</c:v>
                </c:pt>
                <c:pt idx="77">
                  <c:v>0.69999999999999185</c:v>
                </c:pt>
                <c:pt idx="78">
                  <c:v>0.79999999999999183</c:v>
                </c:pt>
                <c:pt idx="79">
                  <c:v>0.89999999999999181</c:v>
                </c:pt>
                <c:pt idx="80">
                  <c:v>0.99999999999999178</c:v>
                </c:pt>
                <c:pt idx="81">
                  <c:v>1.0999999999999919</c:v>
                </c:pt>
                <c:pt idx="82">
                  <c:v>1.199999999999992</c:v>
                </c:pt>
                <c:pt idx="83">
                  <c:v>1.2999999999999921</c:v>
                </c:pt>
                <c:pt idx="84">
                  <c:v>1.3999999999999921</c:v>
                </c:pt>
                <c:pt idx="85">
                  <c:v>1.4999999999999922</c:v>
                </c:pt>
                <c:pt idx="86">
                  <c:v>1.5999999999999923</c:v>
                </c:pt>
                <c:pt idx="87">
                  <c:v>1.6999999999999924</c:v>
                </c:pt>
                <c:pt idx="88">
                  <c:v>1.7999999999999925</c:v>
                </c:pt>
                <c:pt idx="89">
                  <c:v>1.8999999999999926</c:v>
                </c:pt>
                <c:pt idx="90">
                  <c:v>1.9999999999999927</c:v>
                </c:pt>
                <c:pt idx="91">
                  <c:v>2.0999999999999925</c:v>
                </c:pt>
                <c:pt idx="92">
                  <c:v>2.1999999999999926</c:v>
                </c:pt>
                <c:pt idx="93">
                  <c:v>2.2999999999999927</c:v>
                </c:pt>
                <c:pt idx="94">
                  <c:v>2.3999999999999928</c:v>
                </c:pt>
                <c:pt idx="95">
                  <c:v>2.4999999999999929</c:v>
                </c:pt>
                <c:pt idx="96">
                  <c:v>2.599999999999993</c:v>
                </c:pt>
                <c:pt idx="97">
                  <c:v>2.6999999999999931</c:v>
                </c:pt>
                <c:pt idx="98">
                  <c:v>2.7999999999999932</c:v>
                </c:pt>
                <c:pt idx="99">
                  <c:v>2.8999999999999932</c:v>
                </c:pt>
                <c:pt idx="100">
                  <c:v>2.9999999999999933</c:v>
                </c:pt>
                <c:pt idx="101">
                  <c:v>3.0999999999999934</c:v>
                </c:pt>
                <c:pt idx="102">
                  <c:v>3.1999999999999935</c:v>
                </c:pt>
                <c:pt idx="103">
                  <c:v>3.2999999999999936</c:v>
                </c:pt>
                <c:pt idx="104">
                  <c:v>3.3999999999999937</c:v>
                </c:pt>
                <c:pt idx="105">
                  <c:v>3.4999999999999938</c:v>
                </c:pt>
                <c:pt idx="106">
                  <c:v>3.5999999999999939</c:v>
                </c:pt>
                <c:pt idx="107">
                  <c:v>3.699999999999994</c:v>
                </c:pt>
                <c:pt idx="108">
                  <c:v>3.799999999999994</c:v>
                </c:pt>
                <c:pt idx="109">
                  <c:v>3.8999999999999941</c:v>
                </c:pt>
                <c:pt idx="110">
                  <c:v>3.9999999999999942</c:v>
                </c:pt>
                <c:pt idx="111">
                  <c:v>4.0999999999999943</c:v>
                </c:pt>
                <c:pt idx="112">
                  <c:v>4.199999999999994</c:v>
                </c:pt>
                <c:pt idx="113">
                  <c:v>4.2999999999999936</c:v>
                </c:pt>
                <c:pt idx="114">
                  <c:v>4.3999999999999932</c:v>
                </c:pt>
                <c:pt idx="115">
                  <c:v>4.4999999999999929</c:v>
                </c:pt>
                <c:pt idx="116">
                  <c:v>4.5999999999999925</c:v>
                </c:pt>
                <c:pt idx="117">
                  <c:v>4.6999999999999922</c:v>
                </c:pt>
                <c:pt idx="118">
                  <c:v>4.7999999999999918</c:v>
                </c:pt>
                <c:pt idx="119">
                  <c:v>4.8999999999999915</c:v>
                </c:pt>
                <c:pt idx="120">
                  <c:v>4.9999999999999911</c:v>
                </c:pt>
                <c:pt idx="121">
                  <c:v>5.0999999999999908</c:v>
                </c:pt>
                <c:pt idx="122">
                  <c:v>5.1999999999999904</c:v>
                </c:pt>
                <c:pt idx="123">
                  <c:v>5.2999999999999901</c:v>
                </c:pt>
                <c:pt idx="124">
                  <c:v>5.3999999999999897</c:v>
                </c:pt>
                <c:pt idx="125">
                  <c:v>5.4999999999999893</c:v>
                </c:pt>
                <c:pt idx="126">
                  <c:v>5.599999999999989</c:v>
                </c:pt>
                <c:pt idx="127">
                  <c:v>5.6999999999999886</c:v>
                </c:pt>
                <c:pt idx="128">
                  <c:v>5.7999999999999883</c:v>
                </c:pt>
                <c:pt idx="129">
                  <c:v>5.8999999999999879</c:v>
                </c:pt>
                <c:pt idx="130">
                  <c:v>5.9999999999999876</c:v>
                </c:pt>
                <c:pt idx="131">
                  <c:v>6.0999999999999872</c:v>
                </c:pt>
                <c:pt idx="132">
                  <c:v>6.1999999999999869</c:v>
                </c:pt>
                <c:pt idx="133">
                  <c:v>6.2999999999999865</c:v>
                </c:pt>
                <c:pt idx="134">
                  <c:v>6.3999999999999861</c:v>
                </c:pt>
                <c:pt idx="135">
                  <c:v>6.4999999999999858</c:v>
                </c:pt>
                <c:pt idx="136">
                  <c:v>6.5999999999999854</c:v>
                </c:pt>
                <c:pt idx="137">
                  <c:v>6.6999999999999851</c:v>
                </c:pt>
                <c:pt idx="138">
                  <c:v>6.7999999999999847</c:v>
                </c:pt>
                <c:pt idx="139">
                  <c:v>6.8999999999999844</c:v>
                </c:pt>
                <c:pt idx="140">
                  <c:v>6.999999999999984</c:v>
                </c:pt>
              </c:numCache>
            </c:numRef>
          </c:xVal>
          <c:yVal>
            <c:numRef>
              <c:f>'Approx CDF'!$K$6:$K$146</c:f>
              <c:numCache>
                <c:formatCode>General</c:formatCode>
                <c:ptCount val="141"/>
                <c:pt idx="0">
                  <c:v>1.2798125438858352E-12</c:v>
                </c:pt>
                <c:pt idx="1">
                  <c:v>2.600126965638173E-12</c:v>
                </c:pt>
                <c:pt idx="2">
                  <c:v>5.2309575441445245E-12</c:v>
                </c:pt>
                <c:pt idx="3">
                  <c:v>1.0420976987965078E-11</c:v>
                </c:pt>
                <c:pt idx="4">
                  <c:v>2.0557889093994925E-11</c:v>
                </c:pt>
                <c:pt idx="5">
                  <c:v>4.016000583859059E-11</c:v>
                </c:pt>
                <c:pt idx="6">
                  <c:v>7.7688475817097123E-11</c:v>
                </c:pt>
                <c:pt idx="7">
                  <c:v>1.4882282217622853E-10</c:v>
                </c:pt>
                <c:pt idx="8">
                  <c:v>2.8231580370432248E-10</c:v>
                </c:pt>
                <c:pt idx="9">
                  <c:v>5.3034232629487305E-10</c:v>
                </c:pt>
                <c:pt idx="10">
                  <c:v>9.8658764503766935E-10</c:v>
                </c:pt>
                <c:pt idx="11">
                  <c:v>1.817507863099384E-9</c:v>
                </c:pt>
                <c:pt idx="12">
                  <c:v>3.3157459783260645E-9</c:v>
                </c:pt>
                <c:pt idx="13">
                  <c:v>5.9903714010633526E-9</c:v>
                </c:pt>
                <c:pt idx="14">
                  <c:v>1.0717590258310579E-8</c:v>
                </c:pt>
                <c:pt idx="15">
                  <c:v>1.8989562465887129E-8</c:v>
                </c:pt>
                <c:pt idx="16">
                  <c:v>3.3320448485427409E-8</c:v>
                </c:pt>
                <c:pt idx="17">
                  <c:v>5.7901340399643868E-8</c:v>
                </c:pt>
                <c:pt idx="18">
                  <c:v>9.9644263169331167E-8</c:v>
                </c:pt>
                <c:pt idx="19">
                  <c:v>1.6982674071475378E-7</c:v>
                </c:pt>
                <c:pt idx="20">
                  <c:v>2.8665157187918232E-7</c:v>
                </c:pt>
                <c:pt idx="21">
                  <c:v>4.7918327659030076E-7</c:v>
                </c:pt>
                <c:pt idx="22">
                  <c:v>7.9332815197556293E-7</c:v>
                </c:pt>
                <c:pt idx="23">
                  <c:v>1.3008074539172295E-6</c:v>
                </c:pt>
                <c:pt idx="24">
                  <c:v>2.1124547025027555E-6</c:v>
                </c:pt>
                <c:pt idx="25">
                  <c:v>3.3976731247299095E-6</c:v>
                </c:pt>
                <c:pt idx="26">
                  <c:v>5.4125439077036197E-6</c:v>
                </c:pt>
                <c:pt idx="27">
                  <c:v>8.5399054709914283E-6</c:v>
                </c:pt>
                <c:pt idx="28">
                  <c:v>1.3345749015905763E-5</c:v>
                </c:pt>
                <c:pt idx="29">
                  <c:v>2.0657506912545789E-5</c:v>
                </c:pt>
                <c:pt idx="30">
                  <c:v>3.167124183311844E-5</c:v>
                </c:pt>
                <c:pt idx="31">
                  <c:v>4.8096344017600521E-5</c:v>
                </c:pt>
                <c:pt idx="32">
                  <c:v>7.2348043925116832E-5</c:v>
                </c:pt>
                <c:pt idx="33">
                  <c:v>1.0779973347738368E-4</c:v>
                </c:pt>
                <c:pt idx="34">
                  <c:v>1.5910859015752743E-4</c:v>
                </c:pt>
                <c:pt idx="35">
                  <c:v>2.3262907903551577E-4</c:v>
                </c:pt>
                <c:pt idx="36">
                  <c:v>3.3692926567686834E-4</c:v>
                </c:pt>
                <c:pt idx="37">
                  <c:v>4.834241423837595E-4</c:v>
                </c:pt>
                <c:pt idx="38">
                  <c:v>6.8713793791582453E-4</c:v>
                </c:pt>
                <c:pt idx="39">
                  <c:v>9.6760321321832314E-4</c:v>
                </c:pt>
                <c:pt idx="40">
                  <c:v>1.349898031630051E-3</c:v>
                </c:pt>
                <c:pt idx="41">
                  <c:v>1.8658133003839773E-3</c:v>
                </c:pt>
                <c:pt idx="42">
                  <c:v>2.5551303304278549E-3</c:v>
                </c:pt>
                <c:pt idx="43">
                  <c:v>3.4669738030405684E-3</c:v>
                </c:pt>
                <c:pt idx="44">
                  <c:v>4.6611880237186184E-3</c:v>
                </c:pt>
                <c:pt idx="45">
                  <c:v>6.2096653257759675E-3</c:v>
                </c:pt>
                <c:pt idx="46">
                  <c:v>8.1975359245959195E-3</c:v>
                </c:pt>
                <c:pt idx="47">
                  <c:v>1.0724110021675542E-2</c:v>
                </c:pt>
                <c:pt idx="48">
                  <c:v>1.3903447513498283E-2</c:v>
                </c:pt>
                <c:pt idx="49">
                  <c:v>1.786442056281615E-2</c:v>
                </c:pt>
                <c:pt idx="50">
                  <c:v>2.2750131948178726E-2</c:v>
                </c:pt>
                <c:pt idx="51">
                  <c:v>2.8716559816001224E-2</c:v>
                </c:pt>
                <c:pt idx="52">
                  <c:v>3.5930319112925109E-2</c:v>
                </c:pt>
                <c:pt idx="53">
                  <c:v>4.4565462758542243E-2</c:v>
                </c:pt>
                <c:pt idx="54">
                  <c:v>5.4799291699557023E-2</c:v>
                </c:pt>
                <c:pt idx="55">
                  <c:v>6.6807201268856947E-2</c:v>
                </c:pt>
                <c:pt idx="56">
                  <c:v>8.0756659233769776E-2</c:v>
                </c:pt>
                <c:pt idx="57">
                  <c:v>9.6800484585608887E-2</c:v>
                </c:pt>
                <c:pt idx="58">
                  <c:v>0.11506967022170667</c:v>
                </c:pt>
                <c:pt idx="59">
                  <c:v>0.1356660609463809</c:v>
                </c:pt>
                <c:pt idx="60">
                  <c:v>0.1586552539314551</c:v>
                </c:pt>
                <c:pt idx="61">
                  <c:v>0.18406012534675728</c:v>
                </c:pt>
                <c:pt idx="62">
                  <c:v>0.21185539858339431</c:v>
                </c:pt>
                <c:pt idx="63">
                  <c:v>0.24196365222307042</c:v>
                </c:pt>
                <c:pt idx="64">
                  <c:v>0.27425311775007088</c:v>
                </c:pt>
                <c:pt idx="65">
                  <c:v>0.308537538725984</c:v>
                </c:pt>
                <c:pt idx="66">
                  <c:v>0.34457825838967282</c:v>
                </c:pt>
                <c:pt idx="67">
                  <c:v>0.38208857781104422</c:v>
                </c:pt>
                <c:pt idx="68">
                  <c:v>0.42074029056089379</c:v>
                </c:pt>
                <c:pt idx="69">
                  <c:v>0.46017216272296779</c:v>
                </c:pt>
                <c:pt idx="70">
                  <c:v>0.49999999999999678</c:v>
                </c:pt>
                <c:pt idx="71">
                  <c:v>0.53982783727702577</c:v>
                </c:pt>
                <c:pt idx="72">
                  <c:v>0.57925970943909988</c:v>
                </c:pt>
                <c:pt idx="73">
                  <c:v>0.61791142218894957</c:v>
                </c:pt>
                <c:pt idx="74">
                  <c:v>0.65542174161032118</c:v>
                </c:pt>
                <c:pt idx="75">
                  <c:v>0.69146246127401034</c:v>
                </c:pt>
                <c:pt idx="76">
                  <c:v>0.72574688224992379</c:v>
                </c:pt>
                <c:pt idx="77">
                  <c:v>0.75803634777692452</c:v>
                </c:pt>
                <c:pt idx="78">
                  <c:v>0.78814460141660092</c:v>
                </c:pt>
                <c:pt idx="79">
                  <c:v>0.81593987465323836</c:v>
                </c:pt>
                <c:pt idx="80">
                  <c:v>0.84134474606854104</c:v>
                </c:pt>
                <c:pt idx="81">
                  <c:v>0.86433393905361555</c:v>
                </c:pt>
                <c:pt idx="82">
                  <c:v>0.88493032977829023</c:v>
                </c:pt>
                <c:pt idx="83">
                  <c:v>0.90319951541438837</c:v>
                </c:pt>
                <c:pt idx="84">
                  <c:v>0.91924334076622771</c:v>
                </c:pt>
                <c:pt idx="85">
                  <c:v>0.93319279873114092</c:v>
                </c:pt>
                <c:pt idx="86">
                  <c:v>0.94520070830044123</c:v>
                </c:pt>
                <c:pt idx="87">
                  <c:v>0.95543453724145633</c:v>
                </c:pt>
                <c:pt idx="88">
                  <c:v>0.96406968088707368</c:v>
                </c:pt>
                <c:pt idx="89">
                  <c:v>0.9712834401839977</c:v>
                </c:pt>
                <c:pt idx="90">
                  <c:v>0.97724986805182046</c:v>
                </c:pt>
                <c:pt idx="91">
                  <c:v>0.9821355794371831</c:v>
                </c:pt>
                <c:pt idx="92">
                  <c:v>0.98609655248650119</c:v>
                </c:pt>
                <c:pt idx="93">
                  <c:v>0.98927588997832394</c:v>
                </c:pt>
                <c:pt idx="94">
                  <c:v>0.99180246407540373</c:v>
                </c:pt>
                <c:pt idx="95">
                  <c:v>0.99379033467422373</c:v>
                </c:pt>
                <c:pt idx="96">
                  <c:v>0.99533881197628116</c:v>
                </c:pt>
                <c:pt idx="97">
                  <c:v>0.99653302619695927</c:v>
                </c:pt>
                <c:pt idx="98">
                  <c:v>0.99744486966957202</c:v>
                </c:pt>
                <c:pt idx="99">
                  <c:v>0.99813418669961596</c:v>
                </c:pt>
                <c:pt idx="100">
                  <c:v>0.9986501019683699</c:v>
                </c:pt>
                <c:pt idx="101">
                  <c:v>0.99903239678678157</c:v>
                </c:pt>
                <c:pt idx="102">
                  <c:v>0.99931286206208414</c:v>
                </c:pt>
                <c:pt idx="103">
                  <c:v>0.99951657585761622</c:v>
                </c:pt>
                <c:pt idx="104">
                  <c:v>0.99966307073432314</c:v>
                </c:pt>
                <c:pt idx="105">
                  <c:v>0.99976737092096446</c:v>
                </c:pt>
                <c:pt idx="106">
                  <c:v>0.99984089140984245</c:v>
                </c:pt>
                <c:pt idx="107">
                  <c:v>0.99989220026652259</c:v>
                </c:pt>
                <c:pt idx="108">
                  <c:v>0.99992765195607491</c:v>
                </c:pt>
                <c:pt idx="109">
                  <c:v>0.99995190365598241</c:v>
                </c:pt>
                <c:pt idx="110">
                  <c:v>0.99996832875816688</c:v>
                </c:pt>
                <c:pt idx="111">
                  <c:v>0.9999793424930874</c:v>
                </c:pt>
                <c:pt idx="112">
                  <c:v>0.9999866542509841</c:v>
                </c:pt>
                <c:pt idx="113">
                  <c:v>0.99999146009452899</c:v>
                </c:pt>
                <c:pt idx="114">
                  <c:v>0.99999458745609227</c:v>
                </c:pt>
                <c:pt idx="115">
                  <c:v>0.99999660232687526</c:v>
                </c:pt>
                <c:pt idx="116">
                  <c:v>0.9999978875452975</c:v>
                </c:pt>
                <c:pt idx="117">
                  <c:v>0.99999869919254614</c:v>
                </c:pt>
                <c:pt idx="118">
                  <c:v>0.99999920667184805</c:v>
                </c:pt>
                <c:pt idx="119">
                  <c:v>0.99999952081672339</c:v>
                </c:pt>
                <c:pt idx="120">
                  <c:v>0.99999971334842808</c:v>
                </c:pt>
                <c:pt idx="121">
                  <c:v>0.99999983017325933</c:v>
                </c:pt>
                <c:pt idx="122">
                  <c:v>0.99999990035573683</c:v>
                </c:pt>
                <c:pt idx="123">
                  <c:v>0.99999994209865961</c:v>
                </c:pt>
                <c:pt idx="124">
                  <c:v>0.99999996667955149</c:v>
                </c:pt>
                <c:pt idx="125">
                  <c:v>0.99999998101043752</c:v>
                </c:pt>
                <c:pt idx="126">
                  <c:v>0.99999998928240974</c:v>
                </c:pt>
                <c:pt idx="127">
                  <c:v>0.99999999400962858</c:v>
                </c:pt>
                <c:pt idx="128">
                  <c:v>0.99999999668425399</c:v>
                </c:pt>
                <c:pt idx="129">
                  <c:v>0.99999999818249219</c:v>
                </c:pt>
                <c:pt idx="130">
                  <c:v>0.9999999990134123</c:v>
                </c:pt>
                <c:pt idx="131">
                  <c:v>0.99999999946965767</c:v>
                </c:pt>
                <c:pt idx="132">
                  <c:v>0.99999999971768416</c:v>
                </c:pt>
                <c:pt idx="133">
                  <c:v>0.99999999985117716</c:v>
                </c:pt>
                <c:pt idx="134">
                  <c:v>0.99999999992231148</c:v>
                </c:pt>
                <c:pt idx="135">
                  <c:v>0.99999999995984001</c:v>
                </c:pt>
                <c:pt idx="136">
                  <c:v>0.99999999997944211</c:v>
                </c:pt>
                <c:pt idx="137">
                  <c:v>0.999999999989579</c:v>
                </c:pt>
                <c:pt idx="138">
                  <c:v>0.99999999999476907</c:v>
                </c:pt>
                <c:pt idx="139">
                  <c:v>0.99999999999739986</c:v>
                </c:pt>
                <c:pt idx="140">
                  <c:v>0.99999999999872013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8B-4DD4-86B5-71D7B38F1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2164559"/>
        <c:axId val="1472175791"/>
      </c:scatterChart>
      <c:valAx>
        <c:axId val="1472164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2175791"/>
        <c:crosses val="autoZero"/>
        <c:crossBetween val="midCat"/>
      </c:valAx>
      <c:valAx>
        <c:axId val="147217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2164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161925</xdr:colOff>
      <xdr:row>2</xdr:row>
      <xdr:rowOff>28575</xdr:rowOff>
    </xdr:from>
    <xdr:to>
      <xdr:col>19</xdr:col>
      <xdr:colOff>123826</xdr:colOff>
      <xdr:row>21</xdr:row>
      <xdr:rowOff>14288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1A95F2-7486-4E81-A2E0-B867E3EEA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5</xdr:row>
      <xdr:rowOff>100012</xdr:rowOff>
    </xdr:from>
    <xdr:to>
      <xdr:col>7</xdr:col>
      <xdr:colOff>438150</xdr:colOff>
      <xdr:row>19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43846D-7C85-44CD-B10F-74238A5E90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92054-A52A-41A9-AC67-A8BC899E7624}">
  <sheetPr codeName="Sheet1"/>
  <dimension ref="B2:G236"/>
  <sheetViews>
    <sheetView tabSelected="1" workbookViewId="0">
      <selection activeCell="R29" sqref="R29"/>
    </sheetView>
  </sheetViews>
  <sheetFormatPr defaultRowHeight="15" x14ac:dyDescent="0.25"/>
  <cols>
    <col min="4" max="4" width="12" bestFit="1" customWidth="1"/>
    <col min="5" max="6" width="11.140625" customWidth="1"/>
    <col min="7" max="7" width="13.7109375" customWidth="1"/>
    <col min="10" max="10" width="12" bestFit="1" customWidth="1"/>
  </cols>
  <sheetData>
    <row r="2" spans="2:7" x14ac:dyDescent="0.25">
      <c r="B2" t="s">
        <v>1</v>
      </c>
      <c r="C2">
        <v>100</v>
      </c>
    </row>
    <row r="3" spans="2:7" x14ac:dyDescent="0.25">
      <c r="C3" t="s">
        <v>3</v>
      </c>
      <c r="D3">
        <v>0.05</v>
      </c>
      <c r="E3" s="1">
        <v>0.1</v>
      </c>
      <c r="F3" s="1">
        <v>0.25</v>
      </c>
      <c r="G3" s="1">
        <v>0.5</v>
      </c>
    </row>
    <row r="5" spans="2:7" x14ac:dyDescent="0.25">
      <c r="B5" t="s">
        <v>0</v>
      </c>
      <c r="C5" t="s">
        <v>2</v>
      </c>
      <c r="D5" t="str">
        <f>"Softplus-"&amp;D3</f>
        <v>Softplus-0.05</v>
      </c>
      <c r="E5" t="str">
        <f>"APBS-"&amp;E3</f>
        <v>APBS-0.1</v>
      </c>
      <c r="F5" t="str">
        <f>"APBS-"&amp;F3</f>
        <v>APBS-0.25</v>
      </c>
      <c r="G5" t="str">
        <f>"APBS-"&amp;G3</f>
        <v>APBS-0.5</v>
      </c>
    </row>
    <row r="6" spans="2:7" x14ac:dyDescent="0.25">
      <c r="B6">
        <v>1</v>
      </c>
      <c r="C6">
        <f>MAX(B6-$C$2,0)</f>
        <v>0</v>
      </c>
      <c r="D6">
        <f t="shared" ref="D6:D69" si="0">LN(1+EXP(($B6-$C$2)/($C$2*D$3)))*($C$2*D$3)</f>
        <v>1.258749325408875E-8</v>
      </c>
      <c r="E6" cm="1">
        <f t="array" ref="E6">ApBs($B6,$C$2,E$3)</f>
        <v>-2.9287575935986923E-204</v>
      </c>
      <c r="F6" cm="1">
        <f t="array" ref="F6">ApBs($B6,$C$2,F$3)</f>
        <v>-6.0838223443773209E-81</v>
      </c>
      <c r="G6" cm="1">
        <f t="array" ref="G6">ApBs($B6,$C$2,G$3)</f>
        <v>-7.7734736871850053E-40</v>
      </c>
    </row>
    <row r="7" spans="2:7" x14ac:dyDescent="0.25">
      <c r="B7">
        <f t="shared" ref="B7:B70" si="1">B6+1</f>
        <v>2</v>
      </c>
      <c r="C7">
        <f t="shared" ref="C7:C70" si="2">MAX(B7-$C$2,0)</f>
        <v>0</v>
      </c>
      <c r="D7">
        <f t="shared" si="0"/>
        <v>1.5374399507616642E-8</v>
      </c>
      <c r="E7" cm="1">
        <f t="array" ref="E7">ApBs($B7,$C$2,E$3)</f>
        <v>-2.4968830193588541E-173</v>
      </c>
      <c r="F7" cm="1">
        <f t="array" ref="F7">ApBs($B7,$C$2,F$3)</f>
        <v>-1.4245726837784677E-68</v>
      </c>
      <c r="G7" cm="1">
        <f t="array" ref="G7">ApBs($B7,$C$2,G$3)</f>
        <v>-1.1828468114582434E-33</v>
      </c>
    </row>
    <row r="8" spans="2:7" x14ac:dyDescent="0.25">
      <c r="B8">
        <f t="shared" si="1"/>
        <v>3</v>
      </c>
      <c r="C8">
        <f t="shared" si="2"/>
        <v>0</v>
      </c>
      <c r="D8">
        <f t="shared" si="0"/>
        <v>1.8778333297484785E-8</v>
      </c>
      <c r="E8" cm="1">
        <f t="array" ref="E8">ApBs($B8,$C$2,E$3)</f>
        <v>-3.0817955037652343E-155</v>
      </c>
      <c r="F8" cm="1">
        <f t="array" ref="F8">ApBs($B8,$C$2,F$3)</f>
        <v>-2.440276991442323E-61</v>
      </c>
      <c r="G8" cm="1">
        <f t="array" ref="G8">ApBs($B8,$C$2,G$3)</f>
        <v>-4.8678523886582915E-30</v>
      </c>
    </row>
    <row r="9" spans="2:7" x14ac:dyDescent="0.25">
      <c r="B9">
        <f t="shared" si="1"/>
        <v>4</v>
      </c>
      <c r="C9">
        <f t="shared" si="2"/>
        <v>0</v>
      </c>
      <c r="D9">
        <f t="shared" si="0"/>
        <v>2.2935908675211333E-8</v>
      </c>
      <c r="E9" cm="1">
        <f t="array" ref="E9">ApBs($B9,$C$2,E$3)</f>
        <v>-2.1062031023788474E-142</v>
      </c>
      <c r="F9" cm="1">
        <f t="array" ref="F9">ApBs($B9,$C$2,F$3)</f>
        <v>-3.2997375043574103E-56</v>
      </c>
      <c r="G9" cm="1">
        <f t="array" ref="G9">ApBs($B9,$C$2,G$3)</f>
        <v>-1.7797575951257072E-27</v>
      </c>
    </row>
    <row r="10" spans="2:7" x14ac:dyDescent="0.25">
      <c r="B10">
        <f t="shared" si="1"/>
        <v>5</v>
      </c>
      <c r="C10">
        <f t="shared" si="2"/>
        <v>0</v>
      </c>
      <c r="D10">
        <f t="shared" si="0"/>
        <v>2.8013982166578151E-8</v>
      </c>
      <c r="E10" cm="1">
        <f t="array" ref="E10">ApBs($B10,$C$2,E$3)</f>
        <v>-1.8957948162619059E-132</v>
      </c>
      <c r="F10" cm="1">
        <f t="array" ref="F10">ApBs($B10,$C$2,F$3)</f>
        <v>-3.1428690079420541E-52</v>
      </c>
      <c r="G10" cm="1">
        <f t="array" ref="G10">ApBs($B10,$C$2,G$3)</f>
        <v>-1.7268660188663745E-25</v>
      </c>
    </row>
    <row r="11" spans="2:7" x14ac:dyDescent="0.25">
      <c r="B11">
        <f t="shared" si="1"/>
        <v>6</v>
      </c>
      <c r="C11">
        <f t="shared" si="2"/>
        <v>0</v>
      </c>
      <c r="D11">
        <f t="shared" si="0"/>
        <v>3.4216355187574497E-8</v>
      </c>
      <c r="E11" cm="1">
        <f t="array" ref="E11">ApBs($B11,$C$2,E$3)</f>
        <v>-2.5712575158366914E-124</v>
      </c>
      <c r="F11" cm="1">
        <f t="array" ref="F11">ApBs($B11,$C$2,F$3)</f>
        <v>-5.5894167908110748E-49</v>
      </c>
      <c r="G11" cm="1">
        <f t="array" ref="G11">ApBs($B11,$C$2,G$3)</f>
        <v>-7.2397478558251965E-24</v>
      </c>
    </row>
    <row r="12" spans="2:7" x14ac:dyDescent="0.25">
      <c r="B12">
        <f t="shared" si="1"/>
        <v>7</v>
      </c>
      <c r="C12">
        <f t="shared" si="2"/>
        <v>0</v>
      </c>
      <c r="D12">
        <f t="shared" si="0"/>
        <v>4.179195083629319E-8</v>
      </c>
      <c r="E12" cm="1">
        <f t="array" ref="E12">ApBs($B12,$C$2,E$3)</f>
        <v>-1.928331928033554E-117</v>
      </c>
      <c r="F12" cm="1">
        <f t="array" ref="F12">ApBs($B12,$C$2,F$3)</f>
        <v>-3.1221002586602727E-46</v>
      </c>
      <c r="G12" cm="1">
        <f t="array" ref="G12">ApBs($B12,$C$2,G$3)</f>
        <v>-1.7008967362716529E-22</v>
      </c>
    </row>
    <row r="13" spans="2:7" x14ac:dyDescent="0.25">
      <c r="B13">
        <f t="shared" si="1"/>
        <v>8</v>
      </c>
      <c r="C13">
        <f t="shared" si="2"/>
        <v>0</v>
      </c>
      <c r="D13">
        <f t="shared" si="0"/>
        <v>5.1044803678691394E-8</v>
      </c>
      <c r="E13" cm="1">
        <f t="array" ref="E13">ApBs($B13,$C$2,E$3)</f>
        <v>-1.7375072780856457E-111</v>
      </c>
      <c r="F13" cm="1">
        <f t="array" ref="F13">ApBs($B13,$C$2,F$3)</f>
        <v>-7.4709743670509795E-44</v>
      </c>
      <c r="G13" cm="1">
        <f t="array" ref="G13">ApBs($B13,$C$2,G$3)</f>
        <v>-2.6153293861500283E-21</v>
      </c>
    </row>
    <row r="14" spans="2:7" x14ac:dyDescent="0.25">
      <c r="B14">
        <f t="shared" si="1"/>
        <v>9</v>
      </c>
      <c r="C14">
        <f t="shared" si="2"/>
        <v>0</v>
      </c>
      <c r="D14">
        <f t="shared" si="0"/>
        <v>6.2346263318563489E-8</v>
      </c>
      <c r="E14" cm="1">
        <f t="array" ref="E14">ApBs($B14,$C$2,E$3)</f>
        <v>-3.1029070169152815E-106</v>
      </c>
      <c r="F14" cm="1">
        <f t="array" ref="F14">ApBs($B14,$C$2,F$3)</f>
        <v>-9.3564779038323982E-42</v>
      </c>
      <c r="G14" cm="1">
        <f t="array" ref="G14">ApBs($B14,$C$2,G$3)</f>
        <v>-2.9090110594292013E-20</v>
      </c>
    </row>
    <row r="15" spans="2:7" x14ac:dyDescent="0.25">
      <c r="B15">
        <f t="shared" si="1"/>
        <v>10</v>
      </c>
      <c r="C15">
        <f t="shared" si="2"/>
        <v>0</v>
      </c>
      <c r="D15">
        <f t="shared" si="0"/>
        <v>7.6149898029165148E-8</v>
      </c>
      <c r="E15" cm="1">
        <f t="array" ref="E15">ApBs($B15,$C$2,E$3)</f>
        <v>-1.5457499157458386E-101</v>
      </c>
      <c r="F15" cm="1">
        <f t="array" ref="F15">ApBs($B15,$C$2,F$3)</f>
        <v>-7.0311104546984064E-40</v>
      </c>
      <c r="G15" cm="1">
        <f t="array" ref="G15">ApBs($B15,$C$2,G$3)</f>
        <v>-2.5062241697476982E-19</v>
      </c>
    </row>
    <row r="16" spans="2:7" x14ac:dyDescent="0.25">
      <c r="B16">
        <f t="shared" si="1"/>
        <v>11</v>
      </c>
      <c r="C16">
        <f t="shared" si="2"/>
        <v>0</v>
      </c>
      <c r="D16">
        <f t="shared" si="0"/>
        <v>9.3009695746110046E-8</v>
      </c>
      <c r="E16" cm="1">
        <f t="array" ref="E16">ApBs($B16,$C$2,E$3)</f>
        <v>-2.7409902438974436E-97</v>
      </c>
      <c r="F16" cm="1">
        <f t="array" ref="F16">ApBs($B16,$C$2,F$3)</f>
        <v>-3.4950933060533723E-38</v>
      </c>
      <c r="G16" cm="1">
        <f t="array" ref="G16">ApBs($B16,$C$2,G$3)</f>
        <v>-1.7559926115030364E-18</v>
      </c>
    </row>
    <row r="17" spans="2:7" x14ac:dyDescent="0.25">
      <c r="B17">
        <f t="shared" si="1"/>
        <v>12</v>
      </c>
      <c r="C17">
        <f t="shared" si="2"/>
        <v>0</v>
      </c>
      <c r="D17">
        <f t="shared" si="0"/>
        <v>1.1360229849885771E-7</v>
      </c>
      <c r="E17" cm="1">
        <f t="array" ref="E17">ApBs($B17,$C$2,E$3)</f>
        <v>-2.071301201837434E-93</v>
      </c>
      <c r="F17" cm="1">
        <f t="array" ref="F17">ApBs($B17,$C$2,F$3)</f>
        <v>-1.2350484443688102E-36</v>
      </c>
      <c r="G17" cm="1">
        <f t="array" ref="G17">ApBs($B17,$C$2,G$3)</f>
        <v>-1.0372569617251563E-17</v>
      </c>
    </row>
    <row r="18" spans="2:7" x14ac:dyDescent="0.25">
      <c r="B18">
        <f t="shared" si="1"/>
        <v>13</v>
      </c>
      <c r="C18">
        <f t="shared" si="2"/>
        <v>0</v>
      </c>
      <c r="D18">
        <f t="shared" si="0"/>
        <v>1.3875416067884383E-7</v>
      </c>
      <c r="E18" cm="1">
        <f t="array" ref="E18">ApBs($B18,$C$2,E$3)</f>
        <v>-7.647317680785317E-90</v>
      </c>
      <c r="F18" cm="1">
        <f t="array" ref="F18">ApBs($B18,$C$2,F$3)</f>
        <v>-3.2767531976350369E-35</v>
      </c>
      <c r="G18" cm="1">
        <f t="array" ref="G18">ApBs($B18,$C$2,G$3)</f>
        <v>-5.3086261159055879E-17</v>
      </c>
    </row>
    <row r="19" spans="2:7" x14ac:dyDescent="0.25">
      <c r="B19">
        <f t="shared" si="1"/>
        <v>14</v>
      </c>
      <c r="C19">
        <f t="shared" si="2"/>
        <v>0</v>
      </c>
      <c r="D19">
        <f t="shared" si="0"/>
        <v>1.6947471361048589E-7</v>
      </c>
      <c r="E19" cm="1">
        <f t="array" ref="E19">ApBs($B19,$C$2,E$3)</f>
        <v>-1.5340808919737369E-86</v>
      </c>
      <c r="F19" cm="1">
        <f t="array" ref="F19">ApBs($B19,$C$2,F$3)</f>
        <v>-6.8107405043872266E-34</v>
      </c>
      <c r="G19" cm="1">
        <f t="array" ref="G19">ApBs($B19,$C$2,G$3)</f>
        <v>-2.4045692539111228E-16</v>
      </c>
    </row>
    <row r="20" spans="2:7" x14ac:dyDescent="0.25">
      <c r="B20">
        <f t="shared" si="1"/>
        <v>15</v>
      </c>
      <c r="C20">
        <f t="shared" si="2"/>
        <v>0</v>
      </c>
      <c r="D20">
        <f t="shared" si="0"/>
        <v>2.0699688201355637E-7</v>
      </c>
      <c r="E20" cm="1">
        <f t="array" ref="E20">ApBs($B20,$C$2,E$3)</f>
        <v>-1.8190287835126075E-83</v>
      </c>
      <c r="F20" cm="1">
        <f t="array" ref="F20">ApBs($B20,$C$2,F$3)</f>
        <v>-1.1470079258230489E-32</v>
      </c>
      <c r="G20" cm="1">
        <f t="array" ref="G20">ApBs($B20,$C$2,G$3)</f>
        <v>-9.803161919667831E-16</v>
      </c>
    </row>
    <row r="21" spans="2:7" x14ac:dyDescent="0.25">
      <c r="B21">
        <f t="shared" si="1"/>
        <v>16</v>
      </c>
      <c r="C21">
        <f t="shared" si="2"/>
        <v>0</v>
      </c>
      <c r="D21">
        <f t="shared" si="0"/>
        <v>2.5282656106738045E-7</v>
      </c>
      <c r="E21" cm="1">
        <f t="array" ref="E21">ApBs($B21,$C$2,E$3)</f>
        <v>-1.3644917602876088E-80</v>
      </c>
      <c r="F21" cm="1">
        <f t="array" ref="F21">ApBs($B21,$C$2,F$3)</f>
        <v>-1.6082521603410494E-31</v>
      </c>
      <c r="G21" cm="1">
        <f t="array" ref="G21">ApBs($B21,$C$2,G$3)</f>
        <v>-3.646404924080223E-15</v>
      </c>
    </row>
    <row r="22" spans="2:7" x14ac:dyDescent="0.25">
      <c r="B22">
        <f t="shared" si="1"/>
        <v>17</v>
      </c>
      <c r="C22">
        <f t="shared" si="2"/>
        <v>0</v>
      </c>
      <c r="D22">
        <f t="shared" si="0"/>
        <v>3.0880305691515804E-7</v>
      </c>
      <c r="E22" cm="1">
        <f t="array" ref="E22">ApBs($B22,$C$2,E$3)</f>
        <v>-6.8448059028193835E-78</v>
      </c>
      <c r="F22" cm="1">
        <f t="array" ref="F22">ApBs($B22,$C$2,F$3)</f>
        <v>-1.9195702884542951E-30</v>
      </c>
      <c r="G22" cm="1">
        <f t="array" ref="G22">ApBs($B22,$C$2,G$3)</f>
        <v>-1.2512833897689588E-14</v>
      </c>
    </row>
    <row r="23" spans="2:7" x14ac:dyDescent="0.25">
      <c r="B23">
        <f t="shared" si="1"/>
        <v>18</v>
      </c>
      <c r="C23">
        <f t="shared" si="2"/>
        <v>0</v>
      </c>
      <c r="D23">
        <f t="shared" si="0"/>
        <v>3.7717290311702028E-7</v>
      </c>
      <c r="E23" cm="1">
        <f t="array" ref="E23">ApBs($B23,$C$2,E$3)</f>
        <v>-2.4043027036459695E-75</v>
      </c>
      <c r="F23" cm="1">
        <f t="array" ref="F23">ApBs($B23,$C$2,F$3)</f>
        <v>-1.9865822415509533E-29</v>
      </c>
      <c r="G23" cm="1">
        <f t="array" ref="G23">ApBs($B23,$C$2,G$3)</f>
        <v>-3.9979073043384125E-14</v>
      </c>
    </row>
    <row r="24" spans="2:7" x14ac:dyDescent="0.25">
      <c r="B24">
        <f t="shared" si="1"/>
        <v>19</v>
      </c>
      <c r="C24">
        <f t="shared" si="2"/>
        <v>0</v>
      </c>
      <c r="D24">
        <f t="shared" si="0"/>
        <v>4.6068002066898359E-7</v>
      </c>
      <c r="E24" cm="1">
        <f t="array" ref="E24">ApBs($B24,$C$2,E$3)</f>
        <v>-6.145967572050452E-73</v>
      </c>
      <c r="F24" cm="1">
        <f t="array" ref="F24">ApBs($B24,$C$2,F$3)</f>
        <v>-1.8103175362905955E-28</v>
      </c>
      <c r="G24" cm="1">
        <f t="array" ref="G24">ApBs($B24,$C$2,G$3)</f>
        <v>-1.1985093402182939E-13</v>
      </c>
    </row>
    <row r="25" spans="2:7" x14ac:dyDescent="0.25">
      <c r="B25">
        <f t="shared" si="1"/>
        <v>20</v>
      </c>
      <c r="C25">
        <f t="shared" si="2"/>
        <v>0</v>
      </c>
      <c r="D25">
        <f t="shared" si="0"/>
        <v>5.6267584201168012E-7</v>
      </c>
      <c r="E25" cm="1">
        <f t="array" ref="E25">ApBs($B25,$C$2,E$3)</f>
        <v>-1.1811971411741822E-70</v>
      </c>
      <c r="F25" cm="1">
        <f t="array" ref="F25">ApBs($B25,$C$2,F$3)</f>
        <v>-1.4716707432258722E-27</v>
      </c>
      <c r="G25" cm="1">
        <f t="array" ref="G25">ApBs($B25,$C$2,G$3)</f>
        <v>-3.3932170347025101E-13</v>
      </c>
    </row>
    <row r="26" spans="2:7" x14ac:dyDescent="0.25">
      <c r="B26">
        <f t="shared" si="1"/>
        <v>21</v>
      </c>
      <c r="C26">
        <f t="shared" si="2"/>
        <v>0</v>
      </c>
      <c r="D26">
        <f t="shared" si="0"/>
        <v>6.872538165862884E-7</v>
      </c>
      <c r="E26" cm="1">
        <f t="array" ref="E26">ApBs($B26,$C$2,E$3)</f>
        <v>-1.75496889914041E-68</v>
      </c>
      <c r="F26" cm="1">
        <f t="array" ref="F26">ApBs($B26,$C$2,F$3)</f>
        <v>-1.0792116212384103E-26</v>
      </c>
      <c r="G26" cm="1">
        <f t="array" ref="G26">ApBs($B26,$C$2,G$3)</f>
        <v>-9.1234343384292979E-13</v>
      </c>
    </row>
    <row r="27" spans="2:7" x14ac:dyDescent="0.25">
      <c r="B27">
        <f t="shared" si="1"/>
        <v>22</v>
      </c>
      <c r="C27">
        <f t="shared" si="2"/>
        <v>0</v>
      </c>
      <c r="D27">
        <f t="shared" si="0"/>
        <v>8.3941369470196021E-7</v>
      </c>
      <c r="E27" cm="1">
        <f t="array" ref="E27">ApBs($B27,$C$2,E$3)</f>
        <v>-2.0645601266429998E-66</v>
      </c>
      <c r="F27" cm="1">
        <f t="array" ref="F27">ApBs($B27,$C$2,F$3)</f>
        <v>-7.2077522641037676E-26</v>
      </c>
      <c r="G27" cm="1">
        <f t="array" ref="G27">ApBs($B27,$C$2,G$3)</f>
        <v>-2.3407709359589654E-12</v>
      </c>
    </row>
    <row r="28" spans="2:7" x14ac:dyDescent="0.25">
      <c r="B28">
        <f t="shared" si="1"/>
        <v>23</v>
      </c>
      <c r="C28">
        <f t="shared" si="2"/>
        <v>0</v>
      </c>
      <c r="D28">
        <f t="shared" si="0"/>
        <v>1.0252621821745678E-6</v>
      </c>
      <c r="E28" cm="1">
        <f t="array" ref="E28">ApBs($B28,$C$2,E$3)</f>
        <v>-1.963384817680707E-64</v>
      </c>
      <c r="F28" cm="1">
        <f t="array" ref="F28">ApBs($B28,$C$2,F$3)</f>
        <v>-4.4207154366909518E-25</v>
      </c>
      <c r="G28" cm="1">
        <f t="array" ref="G28">ApBs($B28,$C$2,G$3)</f>
        <v>-5.7545732423943316E-12</v>
      </c>
    </row>
    <row r="29" spans="2:7" x14ac:dyDescent="0.25">
      <c r="B29">
        <f t="shared" si="1"/>
        <v>24</v>
      </c>
      <c r="C29">
        <f t="shared" si="2"/>
        <v>0</v>
      </c>
      <c r="D29">
        <f t="shared" si="0"/>
        <v>1.2522580292202188E-6</v>
      </c>
      <c r="E29" cm="1">
        <f t="array" ref="E29">ApBs($B29,$C$2,E$3)</f>
        <v>-1.5369534078601837E-62</v>
      </c>
      <c r="F29" cm="1">
        <f t="array" ref="F29">ApBs($B29,$C$2,F$3)</f>
        <v>-2.5079936494067105E-24</v>
      </c>
      <c r="G29" cm="1">
        <f t="array" ref="G29">ApBs($B29,$C$2,G$3)</f>
        <v>-1.3604746286222514E-11</v>
      </c>
    </row>
    <row r="30" spans="2:7" x14ac:dyDescent="0.25">
      <c r="B30">
        <f t="shared" si="1"/>
        <v>25</v>
      </c>
      <c r="C30">
        <f t="shared" si="2"/>
        <v>0</v>
      </c>
      <c r="D30">
        <f t="shared" si="0"/>
        <v>1.5295113689862764E-6</v>
      </c>
      <c r="E30" cm="1">
        <f t="array" ref="E30">ApBs($B30,$C$2,E$3)</f>
        <v>-1.0062083314673495E-60</v>
      </c>
      <c r="F30" cm="1">
        <f t="array" ref="F30">ApBs($B30,$C$2,F$3)</f>
        <v>-1.3245180624029241E-23</v>
      </c>
      <c r="G30" cm="1">
        <f t="array" ref="G30">ApBs($B30,$C$2,G$3)</f>
        <v>-3.1028992314792928E-11</v>
      </c>
    </row>
    <row r="31" spans="2:7" x14ac:dyDescent="0.25">
      <c r="B31">
        <f t="shared" si="1"/>
        <v>26</v>
      </c>
      <c r="C31">
        <f t="shared" si="2"/>
        <v>0</v>
      </c>
      <c r="D31">
        <f t="shared" si="0"/>
        <v>1.8681493403897374E-6</v>
      </c>
      <c r="E31" cm="1">
        <f t="array" ref="E31">ApBs($B31,$C$2,E$3)</f>
        <v>-5.5868846982869192E-59</v>
      </c>
      <c r="F31" cm="1">
        <f t="array" ref="F31">ApBs($B31,$C$2,F$3)</f>
        <v>-6.5481484694043799E-23</v>
      </c>
      <c r="G31" cm="1">
        <f t="array" ref="G31">ApBs($B31,$C$2,G$3)</f>
        <v>-6.8463500832670448E-11</v>
      </c>
    </row>
    <row r="32" spans="2:7" x14ac:dyDescent="0.25">
      <c r="B32">
        <f t="shared" si="1"/>
        <v>27</v>
      </c>
      <c r="C32">
        <f t="shared" si="2"/>
        <v>0</v>
      </c>
      <c r="D32">
        <f t="shared" si="0"/>
        <v>2.2817626633091803E-6</v>
      </c>
      <c r="E32" cm="1">
        <f t="array" ref="E32">ApBs($B32,$C$2,E$3)</f>
        <v>-2.6637869061895393E-57</v>
      </c>
      <c r="F32" cm="1">
        <f t="array" ref="F32">ApBs($B32,$C$2,F$3)</f>
        <v>-3.0455389227590227E-22</v>
      </c>
      <c r="G32" cm="1">
        <f t="array" ref="G32">ApBs($B32,$C$2,G$3)</f>
        <v>-1.4650116854640006E-10</v>
      </c>
    </row>
    <row r="33" spans="2:7" x14ac:dyDescent="0.25">
      <c r="B33">
        <f t="shared" si="1"/>
        <v>28</v>
      </c>
      <c r="C33">
        <f t="shared" si="2"/>
        <v>0</v>
      </c>
      <c r="D33">
        <f t="shared" si="0"/>
        <v>2.7869510692580071E-6</v>
      </c>
      <c r="E33" cm="1">
        <f t="array" ref="E33">ApBs($B33,$C$2,E$3)</f>
        <v>-1.1027615672961352E-55</v>
      </c>
      <c r="F33" cm="1">
        <f t="array" ref="F33">ApBs($B33,$C$2,F$3)</f>
        <v>-1.3384894695601964E-21</v>
      </c>
      <c r="G33" cm="1">
        <f t="array" ref="G33">ApBs($B33,$C$2,G$3)</f>
        <v>-3.0469973454129987E-10</v>
      </c>
    </row>
    <row r="34" spans="2:7" x14ac:dyDescent="0.25">
      <c r="B34">
        <f t="shared" si="1"/>
        <v>29</v>
      </c>
      <c r="C34">
        <f t="shared" si="2"/>
        <v>0</v>
      </c>
      <c r="D34">
        <f t="shared" si="0"/>
        <v>3.4039895128429985E-6</v>
      </c>
      <c r="E34" cm="1">
        <f t="array" ref="E34">ApBs($B34,$C$2,E$3)</f>
        <v>-4.0032641289967251E-54</v>
      </c>
      <c r="F34" cm="1">
        <f t="array" ref="F34">ApBs($B34,$C$2,F$3)</f>
        <v>-5.5806978376119611E-21</v>
      </c>
      <c r="G34" cm="1">
        <f t="array" ref="G34">ApBs($B34,$C$2,G$3)</f>
        <v>-6.1717615413394828E-10</v>
      </c>
    </row>
    <row r="35" spans="2:7" x14ac:dyDescent="0.25">
      <c r="B35">
        <f t="shared" si="1"/>
        <v>30</v>
      </c>
      <c r="C35">
        <f t="shared" si="2"/>
        <v>0</v>
      </c>
      <c r="D35">
        <f t="shared" si="0"/>
        <v>4.1576418674708912E-6</v>
      </c>
      <c r="E35" cm="1">
        <f t="array" ref="E35">ApBs($B35,$C$2,E$3)</f>
        <v>-1.2857538578684737E-52</v>
      </c>
      <c r="F35" cm="1">
        <f t="array" ref="F35">ApBs($B35,$C$2,F$3)</f>
        <v>-2.2152730088446169E-20</v>
      </c>
      <c r="G35" cm="1">
        <f t="array" ref="G35">ApBs($B35,$C$2,G$3)</f>
        <v>-1.2196120392342442E-9</v>
      </c>
    </row>
    <row r="36" spans="2:7" x14ac:dyDescent="0.25">
      <c r="B36">
        <f t="shared" si="1"/>
        <v>31</v>
      </c>
      <c r="C36">
        <f t="shared" si="2"/>
        <v>0</v>
      </c>
      <c r="D36">
        <f t="shared" si="0"/>
        <v>5.0781547758545613E-6</v>
      </c>
      <c r="E36" cm="1">
        <f t="array" ref="E36">ApBs($B36,$C$2,E$3)</f>
        <v>-3.6829231712716045E-51</v>
      </c>
      <c r="F36" cm="1">
        <f t="array" ref="F36">ApBs($B36,$C$2,F$3)</f>
        <v>-8.3988820782219027E-20</v>
      </c>
      <c r="G36" cm="1">
        <f t="array" ref="G36">ApBs($B36,$C$2,G$3)</f>
        <v>-2.3550656881295034E-9</v>
      </c>
    </row>
    <row r="37" spans="2:7" x14ac:dyDescent="0.25">
      <c r="B37">
        <f t="shared" si="1"/>
        <v>32</v>
      </c>
      <c r="C37">
        <f t="shared" si="2"/>
        <v>0</v>
      </c>
      <c r="D37">
        <f t="shared" si="0"/>
        <v>6.2024715528854066E-6</v>
      </c>
      <c r="E37" cm="1">
        <f t="array" ref="E37">ApBs($B37,$C$2,E$3)</f>
        <v>-9.4769161824877514E-50</v>
      </c>
      <c r="F37" cm="1">
        <f t="array" ref="F37">ApBs($B37,$C$2,F$3)</f>
        <v>-3.0502020827841162E-19</v>
      </c>
      <c r="G37" cm="1">
        <f t="array" ref="G37">ApBs($B37,$C$2,G$3)</f>
        <v>-4.4502031191724067E-9</v>
      </c>
    </row>
    <row r="38" spans="2:7" x14ac:dyDescent="0.25">
      <c r="B38">
        <f t="shared" si="1"/>
        <v>33</v>
      </c>
      <c r="C38">
        <f t="shared" si="2"/>
        <v>0</v>
      </c>
      <c r="D38">
        <f t="shared" si="0"/>
        <v>7.5757148217222316E-6</v>
      </c>
      <c r="E38" cm="1">
        <f t="array" ref="E38">ApBs($B38,$C$2,E$3)</f>
        <v>-2.2051503856844496E-48</v>
      </c>
      <c r="F38" cm="1">
        <f t="array" ref="F38">ApBs($B38,$C$2,F$3)</f>
        <v>-1.0638723936264868E-18</v>
      </c>
      <c r="G38" cm="1">
        <f t="array" ref="G38">ApBs($B38,$C$2,G$3)</f>
        <v>-8.2398725314320299E-9</v>
      </c>
    </row>
    <row r="39" spans="2:7" x14ac:dyDescent="0.25">
      <c r="B39">
        <f t="shared" si="1"/>
        <v>34</v>
      </c>
      <c r="C39">
        <f t="shared" si="2"/>
        <v>0</v>
      </c>
      <c r="D39">
        <f t="shared" si="0"/>
        <v>9.252997426284343E-6</v>
      </c>
      <c r="E39" cm="1">
        <f t="array" ref="E39">ApBs($B39,$C$2,E$3)</f>
        <v>-4.6677444613298501E-47</v>
      </c>
      <c r="F39" cm="1">
        <f t="array" ref="F39">ApBs($B39,$C$2,F$3)</f>
        <v>-3.5722555859668128E-18</v>
      </c>
      <c r="G39" cm="1">
        <f t="array" ref="G39">ApBs($B39,$C$2,G$3)</f>
        <v>-1.4967247602762595E-8</v>
      </c>
    </row>
    <row r="40" spans="2:7" x14ac:dyDescent="0.25">
      <c r="B40">
        <f t="shared" si="1"/>
        <v>35</v>
      </c>
      <c r="C40">
        <f t="shared" si="2"/>
        <v>0</v>
      </c>
      <c r="D40">
        <f t="shared" si="0"/>
        <v>1.1301634262185905E-5</v>
      </c>
      <c r="E40" cm="1">
        <f t="array" ref="E40">ApBs($B40,$C$2,E$3)</f>
        <v>-9.0374910326915132E-46</v>
      </c>
      <c r="F40" cm="1">
        <f t="array" ref="F40">ApBs($B40,$C$2,F$3)</f>
        <v>-1.1572710039947474E-17</v>
      </c>
      <c r="G40" cm="1">
        <f t="array" ref="G40">ApBs($B40,$C$2,G$3)</f>
        <v>-2.6700268520007483E-8</v>
      </c>
    </row>
    <row r="41" spans="2:7" x14ac:dyDescent="0.25">
      <c r="B41">
        <f t="shared" si="1"/>
        <v>36</v>
      </c>
      <c r="C41">
        <f t="shared" si="2"/>
        <v>0</v>
      </c>
      <c r="D41">
        <f t="shared" si="0"/>
        <v>1.3803843805911777E-5</v>
      </c>
      <c r="E41" cm="1">
        <f t="array" ref="E41">ApBs($B41,$C$2,E$3)</f>
        <v>-1.6085470985625974E-44</v>
      </c>
      <c r="F41" cm="1">
        <f t="array" ref="F41">ApBs($B41,$C$2,F$3)</f>
        <v>-3.6243834019789528E-17</v>
      </c>
      <c r="G41" cm="1">
        <f t="array" ref="G41">ApBs($B41,$C$2,G$3)</f>
        <v>-4.6824440252504609E-8</v>
      </c>
    </row>
    <row r="42" spans="2:7" x14ac:dyDescent="0.25">
      <c r="B42">
        <f t="shared" si="1"/>
        <v>37</v>
      </c>
      <c r="C42">
        <f t="shared" si="2"/>
        <v>0</v>
      </c>
      <c r="D42">
        <f t="shared" si="0"/>
        <v>1.6860047744590865E-5</v>
      </c>
      <c r="E42" cm="1">
        <f t="array" ref="E42">ApBs($B42,$C$2,E$3)</f>
        <v>-2.6439840747699487E-43</v>
      </c>
      <c r="F42" cm="1">
        <f t="array" ref="F42">ApBs($B42,$C$2,F$3)</f>
        <v>-1.099347271972294E-16</v>
      </c>
      <c r="G42" cm="1">
        <f t="array" ref="G42">ApBs($B42,$C$2,G$3)</f>
        <v>-8.0799351123107726E-8</v>
      </c>
    </row>
    <row r="43" spans="2:7" x14ac:dyDescent="0.25">
      <c r="B43">
        <f t="shared" si="1"/>
        <v>38</v>
      </c>
      <c r="C43">
        <f t="shared" si="2"/>
        <v>0</v>
      </c>
      <c r="D43">
        <f t="shared" si="0"/>
        <v>2.0592901131362057E-5</v>
      </c>
      <c r="E43" cm="1">
        <f t="array" ref="E43">ApBs($B43,$C$2,E$3)</f>
        <v>-4.0304829198841127E-42</v>
      </c>
      <c r="F43" cm="1">
        <f t="array" ref="F43">ApBs($B43,$C$2,F$3)</f>
        <v>-3.2349565256035917E-16</v>
      </c>
      <c r="G43" cm="1">
        <f t="array" ref="G43">ApBs($B43,$C$2,G$3)</f>
        <v>-1.3730434814276858E-7</v>
      </c>
    </row>
    <row r="44" spans="2:7" x14ac:dyDescent="0.25">
      <c r="B44">
        <f t="shared" si="1"/>
        <v>39</v>
      </c>
      <c r="C44">
        <f t="shared" si="2"/>
        <v>0</v>
      </c>
      <c r="D44">
        <f t="shared" si="0"/>
        <v>2.5152214772403488E-5</v>
      </c>
      <c r="E44" cm="1">
        <f t="array" ref="E44">ApBs($B44,$C$2,E$3)</f>
        <v>-5.7203047676353425E-41</v>
      </c>
      <c r="F44" cm="1">
        <f t="array" ref="F44">ApBs($B44,$C$2,F$3)</f>
        <v>-9.2492887457065341E-16</v>
      </c>
      <c r="G44" cm="1">
        <f t="array" ref="G44">ApBs($B44,$C$2,G$3)</f>
        <v>-2.2995124744678914E-7</v>
      </c>
    </row>
    <row r="45" spans="2:7" x14ac:dyDescent="0.25">
      <c r="B45">
        <f t="shared" si="1"/>
        <v>40</v>
      </c>
      <c r="C45">
        <f t="shared" si="2"/>
        <v>0</v>
      </c>
      <c r="D45">
        <f t="shared" si="0"/>
        <v>3.0720967388737161E-5</v>
      </c>
      <c r="E45" cm="1">
        <f t="array" ref="E45">ApBs($B45,$C$2,E$3)</f>
        <v>-7.5858946223625655E-40</v>
      </c>
      <c r="F45" cm="1">
        <f t="array" ref="F45">ApBs($B45,$C$2,F$3)</f>
        <v>-2.5732170987174098E-15</v>
      </c>
      <c r="G45" cm="1">
        <f t="array" ref="G45">ApBs($B45,$C$2,G$3)</f>
        <v>-3.7981333908838746E-7</v>
      </c>
    </row>
    <row r="46" spans="2:7" x14ac:dyDescent="0.25">
      <c r="B46">
        <f t="shared" si="1"/>
        <v>41</v>
      </c>
      <c r="C46">
        <f t="shared" si="2"/>
        <v>0</v>
      </c>
      <c r="D46">
        <f t="shared" si="0"/>
        <v>3.7522648780203264E-5</v>
      </c>
      <c r="E46" cm="1">
        <f t="array" ref="E46">ApBs($B46,$C$2,E$3)</f>
        <v>-9.431168621817708E-39</v>
      </c>
      <c r="F46" cm="1">
        <f t="array" ref="F46">ApBs($B46,$C$2,F$3)</f>
        <v>-6.9750599050804183E-15</v>
      </c>
      <c r="G46" cm="1">
        <f t="array" ref="G46">ApBs($B46,$C$2,G$3)</f>
        <v>-6.1911599570521552E-7</v>
      </c>
    </row>
    <row r="47" spans="2:7" x14ac:dyDescent="0.25">
      <c r="B47">
        <f t="shared" si="1"/>
        <v>42</v>
      </c>
      <c r="C47">
        <f t="shared" si="2"/>
        <v>0</v>
      </c>
      <c r="D47">
        <f t="shared" si="0"/>
        <v>4.5830228639155392E-5</v>
      </c>
      <c r="E47" cm="1">
        <f t="array" ref="E47">ApBs($B47,$C$2,E$3)</f>
        <v>-1.1026450985189743E-37</v>
      </c>
      <c r="F47" cm="1">
        <f t="array" ref="F47">ApBs($B47,$C$2,F$3)</f>
        <v>-1.8444034058035068E-14</v>
      </c>
      <c r="G47" cm="1">
        <f t="array" ref="G47">ApBs($B47,$C$2,G$3)</f>
        <v>-9.9656200429318303E-7</v>
      </c>
    </row>
    <row r="48" spans="2:7" x14ac:dyDescent="0.25">
      <c r="B48">
        <f t="shared" si="1"/>
        <v>43</v>
      </c>
      <c r="C48">
        <f t="shared" si="2"/>
        <v>0</v>
      </c>
      <c r="D48">
        <f t="shared" si="0"/>
        <v>5.5977110867730872E-5</v>
      </c>
      <c r="E48" cm="1">
        <f t="array" ref="E48">ApBs($B48,$C$2,E$3)</f>
        <v>-1.2158018832819877E-36</v>
      </c>
      <c r="F48" cm="1">
        <f t="array" ref="F48">ApBs($B48,$C$2,F$3)</f>
        <v>-4.7631595988457385E-14</v>
      </c>
      <c r="G48" cm="1">
        <f t="array" ref="G48">ApBs($B48,$C$2,G$3)</f>
        <v>-1.5849329635331705E-6</v>
      </c>
    </row>
    <row r="49" spans="2:7" x14ac:dyDescent="0.25">
      <c r="B49">
        <f t="shared" si="1"/>
        <v>44</v>
      </c>
      <c r="C49">
        <f t="shared" si="2"/>
        <v>0</v>
      </c>
      <c r="D49">
        <f t="shared" si="0"/>
        <v>6.8370512873580083E-5</v>
      </c>
      <c r="E49" cm="1">
        <f t="array" ref="E49">ApBs($B49,$C$2,E$3)</f>
        <v>-1.2676679198874743E-35</v>
      </c>
      <c r="F49" cm="1">
        <f t="array" ref="F49">ApBs($B49,$C$2,F$3)</f>
        <v>-1.2026121838049241E-13</v>
      </c>
      <c r="G49" cm="1">
        <f t="array" ref="G49">ApBs($B49,$C$2,G$3)</f>
        <v>-2.4918271389368083E-6</v>
      </c>
    </row>
    <row r="50" spans="2:7" x14ac:dyDescent="0.25">
      <c r="B50">
        <f t="shared" si="1"/>
        <v>45</v>
      </c>
      <c r="C50">
        <f t="shared" si="2"/>
        <v>0</v>
      </c>
      <c r="D50">
        <f t="shared" si="0"/>
        <v>8.350780659152141E-5</v>
      </c>
      <c r="E50" cm="1">
        <f t="array" ref="E50">ApBs($B50,$C$2,E$3)</f>
        <v>-1.2529792673649535E-34</v>
      </c>
      <c r="F50" cm="1">
        <f t="array" ref="F50">ApBs($B50,$C$2,F$3)</f>
        <v>-2.9714991687099073E-13</v>
      </c>
      <c r="G50" cm="1">
        <f t="array" ref="G50">ApBs($B50,$C$2,G$3)</f>
        <v>-3.8746763841113114E-6</v>
      </c>
    </row>
    <row r="51" spans="2:7" x14ac:dyDescent="0.25">
      <c r="B51">
        <f t="shared" si="1"/>
        <v>46</v>
      </c>
      <c r="C51">
        <f t="shared" si="2"/>
        <v>0</v>
      </c>
      <c r="D51">
        <f t="shared" si="0"/>
        <v>1.0199647672055152E-4</v>
      </c>
      <c r="E51" cm="1">
        <f t="array" ref="E51">ApBs($B51,$C$2,E$3)</f>
        <v>-1.176755331051246E-33</v>
      </c>
      <c r="F51" cm="1">
        <f t="array" ref="F51">ApBs($B51,$C$2,F$3)</f>
        <v>-7.1919143574296863E-13</v>
      </c>
      <c r="G51" cm="1">
        <f t="array" ref="G51">ApBs($B51,$C$2,G$3)</f>
        <v>-5.9615444980349434E-6</v>
      </c>
    </row>
    <row r="52" spans="2:7" x14ac:dyDescent="0.25">
      <c r="B52">
        <f t="shared" si="1"/>
        <v>47</v>
      </c>
      <c r="C52">
        <f t="shared" si="2"/>
        <v>0</v>
      </c>
      <c r="D52">
        <f t="shared" si="0"/>
        <v>1.245784966640464E-4</v>
      </c>
      <c r="E52" cm="1">
        <f t="array" ref="E52">ApBs($B52,$C$2,E$3)</f>
        <v>-1.0523854885786646E-32</v>
      </c>
      <c r="F52" cm="1">
        <f t="array" ref="F52">ApBs($B52,$C$2,F$3)</f>
        <v>-1.7064952426778074E-12</v>
      </c>
      <c r="G52" cm="1">
        <f t="array" ref="G52">ApBs($B52,$C$2,G$3)</f>
        <v>-9.0796631375692105E-6</v>
      </c>
    </row>
    <row r="53" spans="2:7" x14ac:dyDescent="0.25">
      <c r="B53">
        <f t="shared" si="1"/>
        <v>48</v>
      </c>
      <c r="C53">
        <f t="shared" si="2"/>
        <v>0</v>
      </c>
      <c r="D53">
        <f t="shared" si="0"/>
        <v>1.5216009974937421E-4</v>
      </c>
      <c r="E53" cm="1">
        <f t="array" ref="E53">ApBs($B53,$C$2,E$3)</f>
        <v>-8.9803270936815907E-32</v>
      </c>
      <c r="F53" cm="1">
        <f t="array" ref="F53">ApBs($B53,$C$2,F$3)</f>
        <v>-3.9728830394093365E-12</v>
      </c>
      <c r="G53" cm="1">
        <f t="array" ref="G53">ApBs($B53,$C$2,G$3)</f>
        <v>-1.3694227531447472E-5</v>
      </c>
    </row>
    <row r="54" spans="2:7" x14ac:dyDescent="0.25">
      <c r="B54">
        <f t="shared" si="1"/>
        <v>49</v>
      </c>
      <c r="C54">
        <f t="shared" si="2"/>
        <v>0</v>
      </c>
      <c r="D54">
        <f t="shared" si="0"/>
        <v>1.8584813942466237E-4</v>
      </c>
      <c r="E54" cm="1">
        <f t="array" ref="E54">ApBs($B54,$C$2,E$3)</f>
        <v>-7.3259677380678754E-31</v>
      </c>
      <c r="F54" cm="1">
        <f t="array" ref="F54">ApBs($B54,$C$2,F$3)</f>
        <v>-9.0818145200554284E-12</v>
      </c>
      <c r="G54" cm="1">
        <f t="array" ref="G54">ApBs($B54,$C$2,G$3)</f>
        <v>-2.0460672768026104E-5</v>
      </c>
    </row>
    <row r="55" spans="2:7" x14ac:dyDescent="0.25">
      <c r="B55">
        <f t="shared" si="1"/>
        <v>50</v>
      </c>
      <c r="C55">
        <f t="shared" si="2"/>
        <v>0</v>
      </c>
      <c r="D55">
        <f t="shared" si="0"/>
        <v>2.2699449608435269E-4</v>
      </c>
      <c r="E55" cm="1">
        <f t="array" ref="E55">ApBs($B55,$C$2,E$3)</f>
        <v>-5.7236014990880672E-30</v>
      </c>
      <c r="F55" cm="1">
        <f t="array" ref="F55">ApBs($B55,$C$2,F$3)</f>
        <v>-2.039909869919014E-11</v>
      </c>
      <c r="G55" cm="1">
        <f t="array" ref="G55">ApBs($B55,$C$2,G$3)</f>
        <v>-3.0294503407799345E-5</v>
      </c>
    </row>
    <row r="56" spans="2:7" x14ac:dyDescent="0.25">
      <c r="B56">
        <f t="shared" si="1"/>
        <v>51</v>
      </c>
      <c r="C56">
        <f t="shared" si="2"/>
        <v>0</v>
      </c>
      <c r="D56">
        <f t="shared" si="0"/>
        <v>2.7725031024551872E-4</v>
      </c>
      <c r="E56" cm="1">
        <f t="array" ref="E56">ApBs($B56,$C$2,E$3)</f>
        <v>-4.2897735666494502E-29</v>
      </c>
      <c r="F56" cm="1">
        <f t="array" ref="F56">ApBs($B56,$C$2,F$3)</f>
        <v>-4.5051273479994001E-11</v>
      </c>
      <c r="G56" cm="1">
        <f t="array" ref="G56">ApBs($B56,$C$2,G$3)</f>
        <v>-4.4463775702607004E-5</v>
      </c>
    </row>
    <row r="57" spans="2:7" x14ac:dyDescent="0.25">
      <c r="B57">
        <f t="shared" si="1"/>
        <v>52</v>
      </c>
      <c r="C57">
        <f t="shared" si="2"/>
        <v>0</v>
      </c>
      <c r="D57">
        <f t="shared" si="0"/>
        <v>3.3863221501714586E-4</v>
      </c>
      <c r="E57" cm="1">
        <f t="array" ref="E57">ApBs($B57,$C$2,E$3)</f>
        <v>-3.0891971471119595E-28</v>
      </c>
      <c r="F57" cm="1">
        <f t="array" ref="F57">ApBs($B57,$C$2,F$3)</f>
        <v>-9.7887994244039351E-11</v>
      </c>
      <c r="G57" cm="1">
        <f t="array" ref="G57">ApBs($B57,$C$2,G$3)</f>
        <v>-6.4710552426223102E-5</v>
      </c>
    </row>
    <row r="58" spans="2:7" x14ac:dyDescent="0.25">
      <c r="B58">
        <f t="shared" si="1"/>
        <v>53</v>
      </c>
      <c r="C58">
        <f t="shared" si="2"/>
        <v>0</v>
      </c>
      <c r="D58">
        <f t="shared" si="0"/>
        <v>4.1360322054858462E-4</v>
      </c>
      <c r="E58" cm="1">
        <f t="array" ref="E58">ApBs($B58,$C$2,E$3)</f>
        <v>-2.1406649597605122E-27</v>
      </c>
      <c r="F58" cm="1">
        <f t="array" ref="F58">ApBs($B58,$C$2,F$3)</f>
        <v>-2.0937755326049989E-10</v>
      </c>
      <c r="G58" cm="1">
        <f t="array" ref="G58">ApBs($B58,$C$2,G$3)</f>
        <v>-9.3409081223457511E-5</v>
      </c>
    </row>
    <row r="59" spans="2:7" x14ac:dyDescent="0.25">
      <c r="B59">
        <f t="shared" si="1"/>
        <v>54</v>
      </c>
      <c r="C59">
        <f t="shared" si="2"/>
        <v>0</v>
      </c>
      <c r="D59">
        <f t="shared" si="0"/>
        <v>5.0517148850240498E-4</v>
      </c>
      <c r="E59" cm="1">
        <f t="array" ref="E59">ApBs($B59,$C$2,E$3)</f>
        <v>-1.4293938681290181E-26</v>
      </c>
      <c r="F59" cm="1">
        <f t="array" ref="F59">ApBs($B59,$C$2,F$3)</f>
        <v>-4.411089646161144E-10</v>
      </c>
      <c r="G59" cm="1">
        <f t="array" ref="G59">ApBs($B59,$C$2,G$3)</f>
        <v>-1.3377009771742363E-4</v>
      </c>
    </row>
    <row r="60" spans="2:7" x14ac:dyDescent="0.25">
      <c r="B60">
        <f t="shared" si="1"/>
        <v>55</v>
      </c>
      <c r="C60">
        <f t="shared" si="2"/>
        <v>0</v>
      </c>
      <c r="D60">
        <f t="shared" si="0"/>
        <v>6.170109486166983E-4</v>
      </c>
      <c r="E60" cm="1">
        <f t="array" ref="E60">ApBs($B60,$C$2,E$3)</f>
        <v>-9.2093506385926954E-26</v>
      </c>
      <c r="F60" cm="1">
        <f t="array" ref="F60">ApBs($B60,$C$2,F$3)</f>
        <v>-9.1579685426061751E-10</v>
      </c>
      <c r="G60" cm="1">
        <f t="array" ref="G60">ApBs($B60,$C$2,G$3)</f>
        <v>-1.9010252265174446E-4</v>
      </c>
    </row>
    <row r="61" spans="2:7" x14ac:dyDescent="0.25">
      <c r="B61">
        <f t="shared" si="1"/>
        <v>56</v>
      </c>
      <c r="C61">
        <f t="shared" si="2"/>
        <v>0</v>
      </c>
      <c r="D61">
        <f t="shared" si="0"/>
        <v>7.5360858003435194E-4</v>
      </c>
      <c r="E61" cm="1">
        <f t="array" ref="E61">ApBs($B61,$C$2,E$3)</f>
        <v>-5.7322026429256908E-25</v>
      </c>
      <c r="F61" cm="1">
        <f t="array" ref="F61">ApBs($B61,$C$2,F$3)</f>
        <v>-1.8745582219844569E-9</v>
      </c>
      <c r="G61" cm="1">
        <f t="array" ref="G61">ApBs($B61,$C$2,G$3)</f>
        <v>-2.6814588967372208E-4</v>
      </c>
    </row>
    <row r="62" spans="2:7" x14ac:dyDescent="0.25">
      <c r="B62">
        <f t="shared" si="1"/>
        <v>57</v>
      </c>
      <c r="C62">
        <f t="shared" si="2"/>
        <v>0</v>
      </c>
      <c r="D62">
        <f t="shared" si="0"/>
        <v>9.2044424137866529E-4</v>
      </c>
      <c r="E62" cm="1">
        <f t="array" ref="E62">ApBs($B62,$C$2,E$3)</f>
        <v>-3.4509687702911312E-24</v>
      </c>
      <c r="F62" cm="1">
        <f t="array" ref="F62">ApBs($B62,$C$2,F$3)</f>
        <v>-3.7847890285523336E-9</v>
      </c>
      <c r="G62" cm="1">
        <f t="array" ref="G62">ApBs($B62,$C$2,G$3)</f>
        <v>-3.7548906430715743E-4</v>
      </c>
    </row>
    <row r="63" spans="2:7" x14ac:dyDescent="0.25">
      <c r="B63">
        <f t="shared" si="1"/>
        <v>58</v>
      </c>
      <c r="C63">
        <f t="shared" si="2"/>
        <v>0</v>
      </c>
      <c r="D63">
        <f t="shared" si="0"/>
        <v>1.1242102265585242E-3</v>
      </c>
      <c r="E63" cm="1">
        <f t="array" ref="E63">ApBs($B63,$C$2,E$3)</f>
        <v>-2.0117359505818403E-23</v>
      </c>
      <c r="F63" cm="1">
        <f t="array" ref="F63">ApBs($B63,$C$2,F$3)</f>
        <v>-7.5407048719864149E-9</v>
      </c>
      <c r="G63" cm="1">
        <f t="array" ref="G63">ApBs($B63,$C$2,G$3)</f>
        <v>-5.2209311834197668E-4</v>
      </c>
    </row>
    <row r="64" spans="2:7" x14ac:dyDescent="0.25">
      <c r="B64">
        <f t="shared" si="1"/>
        <v>59</v>
      </c>
      <c r="C64">
        <f t="shared" si="2"/>
        <v>0</v>
      </c>
      <c r="D64">
        <f t="shared" si="0"/>
        <v>1.3730792979260199E-3</v>
      </c>
      <c r="E64" cm="1">
        <f t="array" ref="E64">ApBs($B64,$C$2,E$3)</f>
        <v>-1.1367595207097008E-22</v>
      </c>
      <c r="F64" cm="1">
        <f t="array" ref="F64">ApBs($B64,$C$2,F$3)</f>
        <v>-1.483143205805348E-8</v>
      </c>
      <c r="G64" cm="1">
        <f t="array" ref="G64">ApBs($B64,$C$2,G$3)</f>
        <v>-7.2093848332504087E-4</v>
      </c>
    </row>
    <row r="65" spans="2:7" x14ac:dyDescent="0.25">
      <c r="B65">
        <f t="shared" si="1"/>
        <v>60</v>
      </c>
      <c r="C65">
        <f t="shared" si="2"/>
        <v>0</v>
      </c>
      <c r="D65">
        <f t="shared" si="0"/>
        <v>1.6770318644783119E-3</v>
      </c>
      <c r="E65" cm="1">
        <f t="array" ref="E65">ApBs($B65,$C$2,E$3)</f>
        <v>-6.2325600887376715E-22</v>
      </c>
      <c r="F65" cm="1">
        <f t="array" ref="F65">ApBs($B65,$C$2,F$3)</f>
        <v>-2.8808311487065189E-8</v>
      </c>
      <c r="G65" cm="1">
        <f t="array" ref="G65">ApBs($B65,$C$2,G$3)</f>
        <v>-9.8881853448518704E-4</v>
      </c>
    </row>
    <row r="66" spans="2:7" x14ac:dyDescent="0.25">
      <c r="B66">
        <f t="shared" si="1"/>
        <v>61</v>
      </c>
      <c r="C66">
        <f t="shared" si="2"/>
        <v>0</v>
      </c>
      <c r="D66">
        <f t="shared" si="0"/>
        <v>2.0482553026269141E-3</v>
      </c>
      <c r="E66" cm="1">
        <f t="array" ref="E66">ApBs($B66,$C$2,E$3)</f>
        <v>-3.3187458387052112E-21</v>
      </c>
      <c r="F66" cm="1">
        <f t="array" ref="F66">ApBs($B66,$C$2,F$3)</f>
        <v>-5.5280077214675131E-8</v>
      </c>
      <c r="G66" cm="1">
        <f t="array" ref="G66">ApBs($B66,$C$2,G$3)</f>
        <v>-1.3473032799553944E-3</v>
      </c>
    </row>
    <row r="67" spans="2:7" x14ac:dyDescent="0.25">
      <c r="B67">
        <f t="shared" si="1"/>
        <v>62</v>
      </c>
      <c r="C67">
        <f t="shared" si="2"/>
        <v>0</v>
      </c>
      <c r="D67">
        <f t="shared" si="0"/>
        <v>2.5016312469295469E-3</v>
      </c>
      <c r="E67" cm="1">
        <f t="array" ref="E67">ApBs($B67,$C$2,E$3)</f>
        <v>-1.7178241250097464E-20</v>
      </c>
      <c r="F67" cm="1">
        <f t="array" ref="F67">ApBs($B67,$C$2,F$3)</f>
        <v>-1.0482826882470234E-7</v>
      </c>
      <c r="G67" cm="1">
        <f t="array" ref="G67">ApBs($B67,$C$2,G$3)</f>
        <v>-1.8238974658658581E-3</v>
      </c>
    </row>
    <row r="68" spans="2:7" x14ac:dyDescent="0.25">
      <c r="B68">
        <f t="shared" si="1"/>
        <v>63</v>
      </c>
      <c r="C68">
        <f t="shared" si="2"/>
        <v>0</v>
      </c>
      <c r="D68">
        <f t="shared" si="0"/>
        <v>3.0553301112653305E-3</v>
      </c>
      <c r="E68" cm="1">
        <f t="array" ref="E68">ApBs($B68,$C$2,E$3)</f>
        <v>-8.6506245141842763E-20</v>
      </c>
      <c r="F68" cm="1">
        <f t="array" ref="F68">ApBs($B68,$C$2,F$3)</f>
        <v>-1.9650815118757189E-7</v>
      </c>
      <c r="G68" cm="1">
        <f t="array" ref="G68">ApBs($B68,$C$2,G$3)</f>
        <v>-2.4534166272428006E-3</v>
      </c>
    </row>
    <row r="69" spans="2:7" x14ac:dyDescent="0.25">
      <c r="B69">
        <f t="shared" si="1"/>
        <v>64</v>
      </c>
      <c r="C69">
        <f t="shared" si="2"/>
        <v>0</v>
      </c>
      <c r="D69">
        <f t="shared" si="0"/>
        <v>3.7315362591379842E-3</v>
      </c>
      <c r="E69" cm="1">
        <f t="array" ref="E69">ApBs($B69,$C$2,E$3)</f>
        <v>-4.2415790944489732E-19</v>
      </c>
      <c r="F69" cm="1">
        <f t="array" ref="F69">ApBs($B69,$C$2,F$3)</f>
        <v>-3.6424993067034109E-7</v>
      </c>
      <c r="G69" cm="1">
        <f t="array" ref="G69">ApBs($B69,$C$2,G$3)</f>
        <v>-3.2796017027542303E-3</v>
      </c>
    </row>
    <row r="70" spans="2:7" x14ac:dyDescent="0.25">
      <c r="B70">
        <f t="shared" si="1"/>
        <v>65</v>
      </c>
      <c r="C70">
        <f t="shared" si="2"/>
        <v>0</v>
      </c>
      <c r="D70">
        <f t="shared" ref="D70:D133" si="3">LN(1+EXP(($B70-$C$2)/($C$2*D$3)))*($C$2*D$3)</f>
        <v>4.5573322688710078E-3</v>
      </c>
      <c r="E70" cm="1">
        <f t="array" ref="E70">ApBs($B70,$C$2,E$3)</f>
        <v>-2.026504951464996E-18</v>
      </c>
      <c r="F70" cm="1">
        <f t="array" ref="F70">ApBs($B70,$C$2,F$3)</f>
        <v>-6.6780651452512655E-7</v>
      </c>
      <c r="G70" cm="1">
        <f t="array" ref="G70">ApBs($B70,$C$2,G$3)</f>
        <v>-4.3569868358952768E-3</v>
      </c>
    </row>
    <row r="71" spans="2:7" x14ac:dyDescent="0.25">
      <c r="B71">
        <f t="shared" ref="B71:B134" si="4">B70+1</f>
        <v>66</v>
      </c>
      <c r="C71">
        <f t="shared" ref="C71:C134" si="5">MAX(B71-$C$2,0)</f>
        <v>0</v>
      </c>
      <c r="D71">
        <f t="shared" si="3"/>
        <v>5.565776802322871E-3</v>
      </c>
      <c r="E71" cm="1">
        <f t="array" ref="E71">ApBs($B71,$C$2,E$3)</f>
        <v>-9.4410133482285448E-18</v>
      </c>
      <c r="F71" cm="1">
        <f t="array" ref="F71">ApBs($B71,$C$2,F$3)</f>
        <v>-1.2112698284807191E-6</v>
      </c>
      <c r="G71" cm="1">
        <f t="array" ref="G71">ApBs($B71,$C$2,G$3)</f>
        <v>-5.7530246548013666E-3</v>
      </c>
    </row>
    <row r="72" spans="2:7" x14ac:dyDescent="0.25">
      <c r="B72">
        <f t="shared" si="4"/>
        <v>67</v>
      </c>
      <c r="C72">
        <f t="shared" si="5"/>
        <v>0</v>
      </c>
      <c r="D72">
        <f t="shared" si="3"/>
        <v>6.7972178762999869E-3</v>
      </c>
      <c r="E72" cm="1">
        <f t="array" ref="E72">ApBs($B72,$C$2,E$3)</f>
        <v>-4.2917477553124372E-17</v>
      </c>
      <c r="F72" cm="1">
        <f t="array" ref="F72">ApBs($B72,$C$2,F$3)</f>
        <v>-2.1740443716556327E-6</v>
      </c>
      <c r="G72" cm="1">
        <f t="array" ref="G72">ApBs($B72,$C$2,G$3)</f>
        <v>-7.5504570339871187E-3</v>
      </c>
    </row>
    <row r="73" spans="2:7" x14ac:dyDescent="0.25">
      <c r="B73">
        <f t="shared" si="4"/>
        <v>68</v>
      </c>
      <c r="C73">
        <f t="shared" si="5"/>
        <v>0</v>
      </c>
      <c r="D73">
        <f t="shared" si="3"/>
        <v>8.3008920702279509E-3</v>
      </c>
      <c r="E73" cm="1">
        <f t="array" ref="E73">ApBs($B73,$C$2,E$3)</f>
        <v>-1.9048981386163659E-16</v>
      </c>
      <c r="F73" cm="1">
        <f t="array" ref="F73">ApBs($B73,$C$2,F$3)</f>
        <v>-3.8620928608731781E-6</v>
      </c>
      <c r="G73" cm="1">
        <f t="array" ref="G73">ApBs($B73,$C$2,G$3)</f>
        <v>-9.8498950146145379E-3</v>
      </c>
    </row>
    <row r="74" spans="2:7" x14ac:dyDescent="0.25">
      <c r="B74">
        <f t="shared" si="4"/>
        <v>69</v>
      </c>
      <c r="C74">
        <f t="shared" si="5"/>
        <v>0</v>
      </c>
      <c r="D74">
        <f t="shared" si="3"/>
        <v>1.0136870619191192E-2</v>
      </c>
      <c r="E74" cm="1">
        <f t="array" ref="E74">ApBs($B74,$C$2,E$3)</f>
        <v>-8.260241763556974E-16</v>
      </c>
      <c r="F74" cm="1">
        <f t="array" ref="F74">ApBs($B74,$C$2,F$3)</f>
        <v>-6.7917961499894533E-6</v>
      </c>
      <c r="G74" cm="1">
        <f t="array" ref="G74">ApBs($B74,$C$2,G$3)</f>
        <v>-1.2772536569341705E-2</v>
      </c>
    </row>
    <row r="75" spans="2:7" x14ac:dyDescent="0.25">
      <c r="B75">
        <f t="shared" si="4"/>
        <v>70</v>
      </c>
      <c r="C75">
        <f t="shared" si="5"/>
        <v>0</v>
      </c>
      <c r="D75">
        <f t="shared" si="3"/>
        <v>1.2378425688651785E-2</v>
      </c>
      <c r="E75" cm="1">
        <f t="array" ref="E75">ApBs($B75,$C$2,E$3)</f>
        <v>-3.5014112416783982E-15</v>
      </c>
      <c r="F75" cm="1">
        <f t="array" ref="F75">ApBs($B75,$C$2,F$3)</f>
        <v>-1.1825678969583555E-5</v>
      </c>
      <c r="G75" cm="1">
        <f t="array" ref="G75">ApBs($B75,$C$2,G$3)</f>
        <v>-1.6462901980590926E-2</v>
      </c>
    </row>
    <row r="76" spans="2:7" x14ac:dyDescent="0.25">
      <c r="B76">
        <f t="shared" si="4"/>
        <v>71</v>
      </c>
      <c r="C76">
        <f t="shared" si="5"/>
        <v>0</v>
      </c>
      <c r="D76">
        <f t="shared" si="3"/>
        <v>1.5114904654157768E-2</v>
      </c>
      <c r="E76" cm="1">
        <f t="array" ref="E76">ApBs($B76,$C$2,E$3)</f>
        <v>-1.4516220377238737E-14</v>
      </c>
      <c r="F76" cm="1">
        <f t="array" ref="F76">ApBs($B76,$C$2,F$3)</f>
        <v>-2.0389645779149659E-5</v>
      </c>
      <c r="G76" cm="1">
        <f t="array" ref="G76">ApBs($B76,$C$2,G$3)</f>
        <v>-2.109139978539222E-2</v>
      </c>
    </row>
    <row r="77" spans="2:7" x14ac:dyDescent="0.25">
      <c r="B77">
        <f t="shared" si="4"/>
        <v>72</v>
      </c>
      <c r="C77">
        <f t="shared" si="5"/>
        <v>0</v>
      </c>
      <c r="D77">
        <f t="shared" si="3"/>
        <v>1.8455217134732246E-2</v>
      </c>
      <c r="E77" cm="1">
        <f t="array" ref="E77">ApBs($B77,$C$2,E$3)</f>
        <v>-5.8889747603350106E-14</v>
      </c>
      <c r="F77" cm="1">
        <f t="array" ref="F77">ApBs($B77,$C$2,F$3)</f>
        <v>-3.4816760649739105E-5</v>
      </c>
      <c r="G77" cm="1">
        <f t="array" ref="G77">ApBs($B77,$C$2,G$3)</f>
        <v>-2.6856446821624018E-2</v>
      </c>
    </row>
    <row r="78" spans="2:7" x14ac:dyDescent="0.25">
      <c r="B78">
        <f t="shared" si="4"/>
        <v>73</v>
      </c>
      <c r="C78">
        <f t="shared" si="5"/>
        <v>0</v>
      </c>
      <c r="D78">
        <f t="shared" si="3"/>
        <v>2.2532058996247023E-2</v>
      </c>
      <c r="E78" cm="1">
        <f t="array" ref="E78">ApBs($B78,$C$2,E$3)</f>
        <v>-2.3388487441397767E-13</v>
      </c>
      <c r="F78" cm="1">
        <f t="array" ref="F78">ApBs($B78,$C$2,F$3)</f>
        <v>-5.8885004975129137E-5</v>
      </c>
      <c r="G78" cm="1">
        <f t="array" ref="G78">ApBs($B78,$C$2,G$3)</f>
        <v>-3.3985748532915201E-2</v>
      </c>
    </row>
    <row r="79" spans="2:7" x14ac:dyDescent="0.25">
      <c r="B79">
        <f t="shared" si="4"/>
        <v>74</v>
      </c>
      <c r="C79">
        <f t="shared" si="5"/>
        <v>0</v>
      </c>
      <c r="D79">
        <f t="shared" si="3"/>
        <v>2.7507019548287368E-2</v>
      </c>
      <c r="E79" cm="1">
        <f t="array" ref="E79">ApBs($B79,$C$2,E$3)</f>
        <v>-9.097588445403019E-13</v>
      </c>
      <c r="F79" cm="1">
        <f t="array" ref="F79">ApBs($B79,$C$2,F$3)</f>
        <v>-9.8648422031882309E-5</v>
      </c>
      <c r="G79" cm="1">
        <f t="array" ref="G79">ApBs($B79,$C$2,G$3)</f>
        <v>-4.273619461777995E-2</v>
      </c>
    </row>
    <row r="80" spans="2:7" x14ac:dyDescent="0.25">
      <c r="B80">
        <f t="shared" si="4"/>
        <v>75</v>
      </c>
      <c r="C80">
        <f t="shared" si="5"/>
        <v>0</v>
      </c>
      <c r="D80">
        <f t="shared" si="3"/>
        <v>3.3576742445589836E-2</v>
      </c>
      <c r="E80" cm="1">
        <f t="array" ref="E80">ApBs($B80,$C$2,E$3)</f>
        <v>-3.4672249902298292E-12</v>
      </c>
      <c r="F80" cm="1">
        <f t="array" ref="F80">ApBs($B80,$C$2,F$3)</f>
        <v>-1.6370567678665479E-4</v>
      </c>
      <c r="G80" cm="1">
        <f t="array" ref="G80">ApBs($B80,$C$2,G$3)</f>
        <v>-5.3391634842621348E-2</v>
      </c>
    </row>
    <row r="81" spans="2:7" x14ac:dyDescent="0.25">
      <c r="B81">
        <f t="shared" si="4"/>
        <v>76</v>
      </c>
      <c r="C81">
        <f t="shared" si="5"/>
        <v>0</v>
      </c>
      <c r="D81">
        <f t="shared" si="3"/>
        <v>4.0980336691338819E-2</v>
      </c>
      <c r="E81" cm="1">
        <f t="array" ref="E81">ApBs($B81,$C$2,E$3)</f>
        <v>-1.295159199361349E-11</v>
      </c>
      <c r="F81" cm="1">
        <f t="array" ref="F81">ApBs($B81,$C$2,F$3)</f>
        <v>-2.6911062857414708E-4</v>
      </c>
      <c r="G81" cm="1">
        <f t="array" ref="G81">ApBs($B81,$C$2,G$3)</f>
        <v>-6.6257566287304656E-2</v>
      </c>
    </row>
    <row r="82" spans="2:7" x14ac:dyDescent="0.25">
      <c r="B82">
        <f t="shared" si="4"/>
        <v>77</v>
      </c>
      <c r="C82">
        <f t="shared" si="5"/>
        <v>0</v>
      </c>
      <c r="D82">
        <f t="shared" si="3"/>
        <v>5.0008260278258901E-2</v>
      </c>
      <c r="E82" cm="1">
        <f t="array" ref="E82">ApBs($B82,$C$2,E$3)</f>
        <v>-4.7433653944868749E-11</v>
      </c>
      <c r="F82" cm="1">
        <f t="array" ref="F82">ApBs($B82,$C$2,F$3)</f>
        <v>-4.3820887796111585E-4</v>
      </c>
      <c r="G82" cm="1">
        <f t="array" ref="G82">ApBs($B82,$C$2,G$3)</f>
        <v>-8.1651485835307167E-2</v>
      </c>
    </row>
    <row r="83" spans="2:7" x14ac:dyDescent="0.25">
      <c r="B83">
        <f t="shared" si="4"/>
        <v>78</v>
      </c>
      <c r="C83">
        <f t="shared" si="5"/>
        <v>0</v>
      </c>
      <c r="D83">
        <f t="shared" si="3"/>
        <v>6.1012923038480549E-2</v>
      </c>
      <c r="E83" cm="1">
        <f t="array" ref="E83">ApBs($B83,$C$2,E$3)</f>
        <v>-1.7036922266051337E-10</v>
      </c>
      <c r="F83" cm="1">
        <f t="array" ref="F83">ApBs($B83,$C$2,F$3)</f>
        <v>-7.067832950260381E-4</v>
      </c>
      <c r="G83" cm="1">
        <f t="array" ref="G83">ApBs($B83,$C$2,G$3)</f>
        <v>-9.9887346598738283E-2</v>
      </c>
    </row>
    <row r="84" spans="2:7" x14ac:dyDescent="0.25">
      <c r="B84">
        <f t="shared" si="4"/>
        <v>79</v>
      </c>
      <c r="C84">
        <f t="shared" si="5"/>
        <v>0</v>
      </c>
      <c r="D84">
        <f t="shared" si="3"/>
        <v>7.442127335959059E-2</v>
      </c>
      <c r="E84" cm="1">
        <f t="array" ref="E84">ApBs($B84,$C$2,E$3)</f>
        <v>-6.0025532949717783E-10</v>
      </c>
      <c r="F84" cm="1">
        <f t="array" ref="F84">ApBs($B84,$C$2,F$3)</f>
        <v>-1.1290062830097351E-3</v>
      </c>
      <c r="G84" cm="1">
        <f t="array" ref="G84">ApBs($B84,$C$2,G$3)</f>
        <v>-0.12125222256161755</v>
      </c>
    </row>
    <row r="85" spans="2:7" x14ac:dyDescent="0.25">
      <c r="B85">
        <f t="shared" si="4"/>
        <v>80</v>
      </c>
      <c r="C85">
        <f t="shared" si="5"/>
        <v>0</v>
      </c>
      <c r="D85">
        <f t="shared" si="3"/>
        <v>9.07496395890489E-2</v>
      </c>
      <c r="E85" cm="1">
        <f t="array" ref="E85">ApBs($B85,$C$2,E$3)</f>
        <v>-2.0749069598144104E-9</v>
      </c>
      <c r="F85" cm="1">
        <f t="array" ref="F85">ApBs($B85,$C$2,F$3)</f>
        <v>-1.785812777043075E-3</v>
      </c>
      <c r="G85" cm="1">
        <f t="array" ref="G85">ApBs($B85,$C$2,G$3)</f>
        <v>-0.14597297029777834</v>
      </c>
    </row>
    <row r="86" spans="2:7" x14ac:dyDescent="0.25">
      <c r="B86">
        <f t="shared" si="4"/>
        <v>81</v>
      </c>
      <c r="C86">
        <f t="shared" si="5"/>
        <v>0</v>
      </c>
      <c r="D86">
        <f t="shared" si="3"/>
        <v>0.11062108227439624</v>
      </c>
      <c r="E86" cm="1">
        <f t="array" ref="E86">ApBs($B86,$C$2,E$3)</f>
        <v>-7.0377154188572862E-9</v>
      </c>
      <c r="F86" cm="1">
        <f t="array" ref="F86">ApBs($B86,$C$2,F$3)</f>
        <v>-2.796391855304324E-3</v>
      </c>
      <c r="G86" cm="1">
        <f t="array" ref="G86">ApBs($B86,$C$2,G$3)</f>
        <v>-0.17417044891454198</v>
      </c>
    </row>
    <row r="87" spans="2:7" x14ac:dyDescent="0.25">
      <c r="B87">
        <f t="shared" si="4"/>
        <v>82</v>
      </c>
      <c r="C87">
        <f t="shared" si="5"/>
        <v>0</v>
      </c>
      <c r="D87">
        <f t="shared" si="3"/>
        <v>0.13478546504104069</v>
      </c>
      <c r="E87" cm="1">
        <f t="array" ref="E87">ApBs($B87,$C$2,E$3)</f>
        <v>-2.3423917545341634E-8</v>
      </c>
      <c r="F87" cm="1">
        <f t="array" ref="F87">ApBs($B87,$C$2,F$3)</f>
        <v>-4.33347666907535E-3</v>
      </c>
      <c r="G87" cm="1">
        <f t="array" ref="G87">ApBs($B87,$C$2,G$3)</f>
        <v>-0.20579883170302077</v>
      </c>
    </row>
    <row r="88" spans="2:7" x14ac:dyDescent="0.25">
      <c r="B88">
        <f t="shared" si="4"/>
        <v>83</v>
      </c>
      <c r="C88">
        <f t="shared" si="5"/>
        <v>0</v>
      </c>
      <c r="D88">
        <f t="shared" si="3"/>
        <v>0.16414235212432723</v>
      </c>
      <c r="E88" cm="1">
        <f t="array" ref="E88">ApBs($B88,$C$2,E$3)</f>
        <v>-7.6502001287660458E-8</v>
      </c>
      <c r="F88" cm="1">
        <f t="array" ref="F88">ApBs($B88,$C$2,F$3)</f>
        <v>-6.6428598844092907E-3</v>
      </c>
      <c r="G88" cm="1">
        <f t="array" ref="G88">ApBs($B88,$C$2,G$3)</f>
        <v>-0.24056788479230681</v>
      </c>
    </row>
    <row r="89" spans="2:7" x14ac:dyDescent="0.25">
      <c r="B89">
        <f t="shared" si="4"/>
        <v>84</v>
      </c>
      <c r="C89">
        <f t="shared" si="5"/>
        <v>0</v>
      </c>
      <c r="D89">
        <f t="shared" si="3"/>
        <v>0.19976666581215152</v>
      </c>
      <c r="E89" cm="1">
        <f t="array" ref="E89">ApBs($B89,$C$2,E$3)</f>
        <v>-2.451441967372234E-7</v>
      </c>
      <c r="F89" cm="1">
        <f t="array" ref="F89">ApBs($B89,$C$2,F$3)</f>
        <v>-1.006683706538576E-2</v>
      </c>
      <c r="G89" cm="1">
        <f t="array" ref="G89">ApBs($B89,$C$2,G$3)</f>
        <v>-0.27784703473753108</v>
      </c>
    </row>
    <row r="90" spans="2:7" x14ac:dyDescent="0.25">
      <c r="B90">
        <f t="shared" si="4"/>
        <v>85</v>
      </c>
      <c r="C90">
        <f t="shared" si="5"/>
        <v>0</v>
      </c>
      <c r="D90">
        <f t="shared" si="3"/>
        <v>0.24293675786870977</v>
      </c>
      <c r="E90" cm="1">
        <f t="array" ref="E90">ApBs($B90,$C$2,E$3)</f>
        <v>-7.7055915866652054E-7</v>
      </c>
      <c r="F90" cm="1">
        <f t="array" ref="F90">ApBs($B90,$C$2,F$3)</f>
        <v>-1.5069674140053564E-2</v>
      </c>
      <c r="G90" cm="1">
        <f t="array" ref="G90">ApBs($B90,$C$2,G$3)</f>
        <v>-0.31655189279292822</v>
      </c>
    </row>
    <row r="91" spans="2:7" x14ac:dyDescent="0.25">
      <c r="B91">
        <f t="shared" si="4"/>
        <v>86</v>
      </c>
      <c r="C91">
        <f t="shared" si="5"/>
        <v>0</v>
      </c>
      <c r="D91">
        <f t="shared" si="3"/>
        <v>0.29516413143985681</v>
      </c>
      <c r="E91" cm="1">
        <f t="array" ref="E91">ApBs($B91,$C$2,E$3)</f>
        <v>-2.3749935566935366E-6</v>
      </c>
      <c r="F91" cm="1">
        <f t="array" ref="F91">ApBs($B91,$C$2,F$3)</f>
        <v>-2.2260033983715531E-2</v>
      </c>
      <c r="G91" cm="1">
        <f t="array" ref="G91">ApBs($B91,$C$2,G$3)</f>
        <v>-0.35501696133614058</v>
      </c>
    </row>
    <row r="92" spans="2:7" x14ac:dyDescent="0.25">
      <c r="B92">
        <f t="shared" si="4"/>
        <v>87</v>
      </c>
      <c r="C92">
        <f t="shared" si="5"/>
        <v>0</v>
      </c>
      <c r="D92">
        <f t="shared" si="3"/>
        <v>0.35822345983834858</v>
      </c>
      <c r="E92" cm="1">
        <f t="array" ref="E92">ApBs($B92,$C$2,E$3)</f>
        <v>-7.1737298026534003E-6</v>
      </c>
      <c r="F92" cm="1">
        <f t="array" ref="F92">ApBs($B92,$C$2,F$3)</f>
        <v>-3.2399534480477846E-2</v>
      </c>
      <c r="G92" cm="1">
        <f t="array" ref="G92">ApBs($B92,$C$2,G$3)</f>
        <v>-0.39086274812930577</v>
      </c>
    </row>
    <row r="93" spans="2:7" x14ac:dyDescent="0.25">
      <c r="B93">
        <f t="shared" si="4"/>
        <v>88</v>
      </c>
      <c r="C93">
        <f t="shared" si="5"/>
        <v>0</v>
      </c>
      <c r="D93">
        <f t="shared" si="3"/>
        <v>0.43418076076974815</v>
      </c>
      <c r="E93" cm="1">
        <f t="array" ref="E93">ApBs($B93,$C$2,E$3)</f>
        <v>-2.1217661486450661E-5</v>
      </c>
      <c r="F93" cm="1">
        <f t="array" ref="F93">ApBs($B93,$C$2,F$3)</f>
        <v>-4.6376756978315448E-2</v>
      </c>
      <c r="G93" cm="1">
        <f t="array" ref="G93">ApBs($B93,$C$2,G$3)</f>
        <v>-0.42087141829994079</v>
      </c>
    </row>
    <row r="94" spans="2:7" x14ac:dyDescent="0.25">
      <c r="B94">
        <f t="shared" si="4"/>
        <v>89</v>
      </c>
      <c r="C94">
        <f t="shared" si="5"/>
        <v>0</v>
      </c>
      <c r="D94">
        <f t="shared" si="3"/>
        <v>0.52541659884347969</v>
      </c>
      <c r="E94" cm="1">
        <f t="array" ref="E94">ApBs($B94,$C$2,E$3)</f>
        <v>-6.1377839440003693E-5</v>
      </c>
      <c r="F94" cm="1">
        <f t="array" ref="F94">ApBs($B94,$C$2,F$3)</f>
        <v>-6.5110305064760302E-2</v>
      </c>
      <c r="G94" cm="1">
        <f t="array" ref="G94">ApBs($B94,$C$2,G$3)</f>
        <v>-0.44089183281632577</v>
      </c>
    </row>
    <row r="95" spans="2:7" x14ac:dyDescent="0.25">
      <c r="B95">
        <f t="shared" si="4"/>
        <v>90</v>
      </c>
      <c r="C95">
        <f t="shared" si="5"/>
        <v>0</v>
      </c>
      <c r="D95">
        <f t="shared" si="3"/>
        <v>0.634640055214863</v>
      </c>
      <c r="E95" cm="1">
        <f t="array" ref="E95">ApBs($B95,$C$2,E$3)</f>
        <v>-1.733649119229006E-4</v>
      </c>
      <c r="F95" cm="1">
        <f t="array" ref="F95">ApBs($B95,$C$2,F$3)</f>
        <v>-8.9321737542264357E-2</v>
      </c>
      <c r="G95" cm="1">
        <f t="array" ref="G95">ApBs($B95,$C$2,G$3)</f>
        <v>-0.44580089040552451</v>
      </c>
    </row>
    <row r="96" spans="2:7" x14ac:dyDescent="0.25">
      <c r="B96">
        <f t="shared" si="4"/>
        <v>91</v>
      </c>
      <c r="C96">
        <f t="shared" si="5"/>
        <v>0</v>
      </c>
      <c r="D96">
        <f t="shared" si="3"/>
        <v>0.7648880526303703</v>
      </c>
      <c r="E96" cm="1">
        <f t="array" ref="E96">ApBs($B96,$C$2,E$3)</f>
        <v>-4.7697423695973993E-4</v>
      </c>
      <c r="F96" cm="1">
        <f t="array" ref="F96">ApBs($B96,$C$2,F$3)</f>
        <v>-0.11909141180298667</v>
      </c>
      <c r="G96" cm="1">
        <f t="array" ref="G96">ApBs($B96,$C$2,G$3)</f>
        <v>-0.42955096162468476</v>
      </c>
    </row>
    <row r="97" spans="2:7" x14ac:dyDescent="0.25">
      <c r="B97">
        <f t="shared" si="4"/>
        <v>92</v>
      </c>
      <c r="C97">
        <f t="shared" si="5"/>
        <v>0</v>
      </c>
      <c r="D97">
        <f t="shared" si="3"/>
        <v>0.91950370444169438</v>
      </c>
      <c r="E97" cm="1">
        <f t="array" ref="E97">ApBs($B97,$C$2,E$3)</f>
        <v>-1.2736461550081394E-3</v>
      </c>
      <c r="F97" cm="1">
        <f t="array" ref="F97">ApBs($B97,$C$2,F$3)</f>
        <v>-0.15308905175994292</v>
      </c>
      <c r="G97" cm="1">
        <f t="array" ref="G97">ApBs($B97,$C$2,G$3)</f>
        <v>-0.38532948435922992</v>
      </c>
    </row>
    <row r="98" spans="2:7" x14ac:dyDescent="0.25">
      <c r="B98">
        <f t="shared" si="4"/>
        <v>93</v>
      </c>
      <c r="C98">
        <f t="shared" si="5"/>
        <v>0</v>
      </c>
      <c r="D98">
        <f t="shared" si="3"/>
        <v>1.102087049592255</v>
      </c>
      <c r="E98" cm="1">
        <f t="array" ref="E98">ApBs($B98,$C$2,E$3)</f>
        <v>-3.2824465678240994E-3</v>
      </c>
      <c r="F98" cm="1">
        <f t="array" ref="F98">ApBs($B98,$C$2,F$3)</f>
        <v>-0.1873888731020032</v>
      </c>
      <c r="G98" cm="1">
        <f t="array" ref="G98">ApBs($B98,$C$2,G$3)</f>
        <v>-0.30584329391493492</v>
      </c>
    </row>
    <row r="99" spans="2:7" x14ac:dyDescent="0.25">
      <c r="B99">
        <f t="shared" si="4"/>
        <v>94</v>
      </c>
      <c r="C99">
        <f t="shared" si="5"/>
        <v>0</v>
      </c>
      <c r="D99">
        <f t="shared" si="3"/>
        <v>1.3164123366901563</v>
      </c>
      <c r="E99" cm="1">
        <f t="array" ref="E99">ApBs($B99,$C$2,E$3)</f>
        <v>-8.0900734115314267E-3</v>
      </c>
      <c r="F99" cm="1">
        <f t="array" ref="F99">ApBs($B99,$C$2,F$3)</f>
        <v>-0.21390272227714682</v>
      </c>
      <c r="G99" cm="1">
        <f t="array" ref="G99">ApBs($B99,$C$2,G$3)</f>
        <v>-0.18371607613989233</v>
      </c>
    </row>
    <row r="100" spans="2:7" x14ac:dyDescent="0.25">
      <c r="B100">
        <f t="shared" si="4"/>
        <v>95</v>
      </c>
      <c r="C100">
        <f t="shared" si="5"/>
        <v>0</v>
      </c>
      <c r="D100">
        <f t="shared" si="3"/>
        <v>1.5663084375911143</v>
      </c>
      <c r="E100" cm="1">
        <f t="array" ref="E100">ApBs($B100,$C$2,E$3)</f>
        <v>-1.8759056309292657E-2</v>
      </c>
      <c r="F100" cm="1">
        <f t="array" ref="F100">ApBs($B100,$C$2,F$3)</f>
        <v>-0.21878167739620508</v>
      </c>
      <c r="G100" cm="1">
        <f t="array" ref="G100">ApBs($B100,$C$2,G$3)</f>
        <v>-1.1956336210222351E-2</v>
      </c>
    </row>
    <row r="101" spans="2:7" x14ac:dyDescent="0.25">
      <c r="B101">
        <f t="shared" si="4"/>
        <v>96</v>
      </c>
      <c r="C101">
        <f t="shared" si="5"/>
        <v>0</v>
      </c>
      <c r="D101">
        <f t="shared" si="3"/>
        <v>1.8555033297388883</v>
      </c>
      <c r="E101" cm="1">
        <f t="array" ref="E101">ApBs($B101,$C$2,E$3)</f>
        <v>-3.9624329410804043E-2</v>
      </c>
      <c r="F101" cm="1">
        <f t="array" ref="F101">ApBs($B101,$C$2,F$3)</f>
        <v>-0.18165304353222772</v>
      </c>
      <c r="G101" cm="1">
        <f t="array" ref="G101">ApBs($B101,$C$2,G$3)</f>
        <v>0.21557459215464281</v>
      </c>
    </row>
    <row r="102" spans="2:7" x14ac:dyDescent="0.25">
      <c r="B102">
        <f t="shared" si="4"/>
        <v>97</v>
      </c>
      <c r="C102">
        <f t="shared" si="5"/>
        <v>0</v>
      </c>
      <c r="D102">
        <f t="shared" si="3"/>
        <v>2.1874397524294285</v>
      </c>
      <c r="E102" cm="1">
        <f t="array" ref="E102">ApBs($B102,$C$2,E$3)</f>
        <v>-7.0860232391653705E-2</v>
      </c>
      <c r="F102" cm="1">
        <f t="array" ref="F102">ApBs($B102,$C$2,F$3)</f>
        <v>-7.6954662937637502E-2</v>
      </c>
      <c r="G102" cm="1">
        <f t="array" ref="G102">ApBs($B102,$C$2,G$3)</f>
        <v>0.50377604225778527</v>
      </c>
    </row>
    <row r="103" spans="2:7" x14ac:dyDescent="0.25">
      <c r="B103">
        <f t="shared" si="4"/>
        <v>98</v>
      </c>
      <c r="C103">
        <f t="shared" si="5"/>
        <v>0</v>
      </c>
      <c r="D103">
        <f t="shared" si="3"/>
        <v>2.5650762619997631</v>
      </c>
      <c r="E103" cm="1">
        <f t="array" ref="E103">ApBs($B103,$C$2,E$3)</f>
        <v>-8.6285651337630026E-2</v>
      </c>
      <c r="F103" cm="1">
        <f t="array" ref="F103">ApBs($B103,$C$2,F$3)</f>
        <v>0.12188889632420541</v>
      </c>
      <c r="G103" cm="1">
        <f t="array" ref="G103">ApBs($B103,$C$2,G$3)</f>
        <v>0.85606838843245958</v>
      </c>
    </row>
    <row r="104" spans="2:7" x14ac:dyDescent="0.25">
      <c r="B104">
        <f t="shared" si="4"/>
        <v>99</v>
      </c>
      <c r="C104">
        <f t="shared" si="5"/>
        <v>0</v>
      </c>
      <c r="D104">
        <f t="shared" si="3"/>
        <v>2.9906943469079588</v>
      </c>
      <c r="E104" cm="1">
        <f t="array" ref="E104">ApBs($B104,$C$2,E$3)</f>
        <v>7.2794308707618827E-3</v>
      </c>
      <c r="F104" cm="1">
        <f t="array" ref="F104">ApBs($B104,$C$2,F$3)</f>
        <v>0.43663268998714033</v>
      </c>
      <c r="G104" cm="1">
        <f t="array" ref="G104">ApBs($B104,$C$2,G$3)</f>
        <v>1.2743237214927967</v>
      </c>
    </row>
    <row r="105" spans="2:7" x14ac:dyDescent="0.25">
      <c r="B105">
        <f t="shared" si="4"/>
        <v>100</v>
      </c>
      <c r="C105">
        <f t="shared" si="5"/>
        <v>0</v>
      </c>
      <c r="D105">
        <f t="shared" si="3"/>
        <v>3.4657359027997265</v>
      </c>
      <c r="E105" cm="1">
        <f t="array" ref="E105">ApBs($B105,$C$2,E$3)</f>
        <v>0.35192729272783829</v>
      </c>
      <c r="F105" cm="1">
        <f t="array" ref="F105">ApBs($B105,$C$2,F$3)</f>
        <v>0.87974196142082128</v>
      </c>
      <c r="G105" cm="1">
        <f t="array" ref="G105">ApBs($B105,$C$2,G$3)</f>
        <v>1.75893939325579</v>
      </c>
    </row>
    <row r="106" spans="2:7" x14ac:dyDescent="0.25">
      <c r="B106">
        <f t="shared" si="4"/>
        <v>101</v>
      </c>
      <c r="C106">
        <f t="shared" si="5"/>
        <v>1</v>
      </c>
      <c r="D106">
        <f t="shared" si="3"/>
        <v>3.9906943469079588</v>
      </c>
      <c r="E106" cm="1">
        <f t="array" ref="E106">ApBs($B106,$C$2,E$3)</f>
        <v>1.0120770523185041</v>
      </c>
      <c r="F106" cm="1">
        <f t="array" ref="F106">ApBs($B106,$C$2,F$3)</f>
        <v>1.4532223683614363</v>
      </c>
      <c r="G106" cm="1">
        <f t="array" ref="G106">ApBs($B106,$C$2,G$3)</f>
        <v>2.3089920798935917</v>
      </c>
    </row>
    <row r="107" spans="2:7" x14ac:dyDescent="0.25">
      <c r="B107">
        <f t="shared" si="4"/>
        <v>102</v>
      </c>
      <c r="C107">
        <f t="shared" si="5"/>
        <v>2</v>
      </c>
      <c r="D107">
        <f t="shared" si="3"/>
        <v>4.5650762619997636</v>
      </c>
      <c r="E107" cm="1">
        <f t="array" ref="E107">ApBs($B107,$C$2,E$3)</f>
        <v>1.9156079067472163</v>
      </c>
      <c r="F107" cm="1">
        <f t="array" ref="F107">ApBs($B107,$C$2,F$3)</f>
        <v>2.1495472390325925</v>
      </c>
      <c r="G107" cm="1">
        <f t="array" ref="G107">ApBs($B107,$C$2,G$3)</f>
        <v>2.9224080877040537</v>
      </c>
    </row>
    <row r="108" spans="2:7" x14ac:dyDescent="0.25">
      <c r="B108">
        <f t="shared" si="4"/>
        <v>103</v>
      </c>
      <c r="C108">
        <f t="shared" si="5"/>
        <v>3</v>
      </c>
      <c r="D108">
        <f t="shared" si="3"/>
        <v>5.1874397524294285</v>
      </c>
      <c r="E108" cm="1">
        <f t="array" ref="E108">ApBs($B108,$C$2,E$3)</f>
        <v>2.9260305185841946</v>
      </c>
      <c r="F108" cm="1">
        <f t="array" ref="F108">ApBs($B108,$C$2,F$3)</f>
        <v>2.9530207738737997</v>
      </c>
      <c r="G108" cm="1">
        <f t="array" ref="G108">ApBs($B108,$C$2,G$3)</f>
        <v>3.5961137257304081</v>
      </c>
    </row>
    <row r="109" spans="2:7" x14ac:dyDescent="0.25">
      <c r="B109">
        <f t="shared" si="4"/>
        <v>104</v>
      </c>
      <c r="C109">
        <f t="shared" si="5"/>
        <v>4</v>
      </c>
      <c r="D109">
        <f t="shared" si="3"/>
        <v>5.8555033297388892</v>
      </c>
      <c r="E109" cm="1">
        <f t="array" ref="E109">ApBs($B109,$C$2,E$3)</f>
        <v>3.9552818919638018</v>
      </c>
      <c r="F109" cm="1">
        <f t="array" ref="F109">ApBs($B109,$C$2,F$3)</f>
        <v>3.8420665360337498</v>
      </c>
      <c r="G109" cm="1">
        <f t="array" ref="G109">ApBs($B109,$C$2,G$3)</f>
        <v>4.32616701239313</v>
      </c>
    </row>
    <row r="110" spans="2:7" x14ac:dyDescent="0.25">
      <c r="B110">
        <f t="shared" si="4"/>
        <v>105</v>
      </c>
      <c r="C110">
        <f t="shared" si="5"/>
        <v>5</v>
      </c>
      <c r="D110">
        <f t="shared" si="3"/>
        <v>6.5663084375911138</v>
      </c>
      <c r="E110" cm="1">
        <f t="array" ref="E110">ApBs($B110,$C$2,E$3)</f>
        <v>4.9766843862593042</v>
      </c>
      <c r="F110" cm="1">
        <f t="array" ref="F110">ApBs($B110,$C$2,F$3)</f>
        <v>4.7930222640210935</v>
      </c>
      <c r="G110" cm="1">
        <f t="array" ref="G110">ApBs($B110,$C$2,G$3)</f>
        <v>5.1078957237338702</v>
      </c>
    </row>
    <row r="111" spans="2:7" x14ac:dyDescent="0.25">
      <c r="B111">
        <f t="shared" si="4"/>
        <v>106</v>
      </c>
      <c r="C111">
        <f t="shared" si="5"/>
        <v>6</v>
      </c>
      <c r="D111">
        <f t="shared" si="3"/>
        <v>7.3164123366901554</v>
      </c>
      <c r="E111" cm="1">
        <f t="array" ref="E111">ApBs($B111,$C$2,E$3)</f>
        <v>5.9887086771527942</v>
      </c>
      <c r="F111" cm="1">
        <f t="array" ref="F111">ApBs($B111,$C$2,F$3)</f>
        <v>5.7841645033374443</v>
      </c>
      <c r="G111" cm="1">
        <f t="array" ref="G111">ApBs($B111,$C$2,G$3)</f>
        <v>5.9360666816421386</v>
      </c>
    </row>
    <row r="112" spans="2:7" x14ac:dyDescent="0.25">
      <c r="B112">
        <f t="shared" si="4"/>
        <v>107</v>
      </c>
      <c r="C112">
        <f t="shared" si="5"/>
        <v>7</v>
      </c>
      <c r="D112">
        <f t="shared" si="3"/>
        <v>8.1020870495922548</v>
      </c>
      <c r="E112" cm="1">
        <f t="array" ref="E112">ApBs($B112,$C$2,E$3)</f>
        <v>6.9947518250439504</v>
      </c>
      <c r="F112" cm="1">
        <f t="array" ref="F112">ApBs($B112,$C$2,F$3)</f>
        <v>6.7982723051430547</v>
      </c>
      <c r="G112" cm="1">
        <f t="array" ref="G112">ApBs($B112,$C$2,G$3)</f>
        <v>6.8050934177338869</v>
      </c>
    </row>
    <row r="113" spans="2:7" x14ac:dyDescent="0.25">
      <c r="B113">
        <f t="shared" si="4"/>
        <v>108</v>
      </c>
      <c r="C113">
        <f t="shared" si="5"/>
        <v>8</v>
      </c>
      <c r="D113">
        <f t="shared" si="3"/>
        <v>8.9195037044416949</v>
      </c>
      <c r="E113" cm="1">
        <f t="array" ref="E113">ApBs($B113,$C$2,E$3)</f>
        <v>7.997619300098898</v>
      </c>
      <c r="F113" cm="1">
        <f t="array" ref="F113">ApBs($B113,$C$2,F$3)</f>
        <v>7.8232728678660655</v>
      </c>
      <c r="G113" cm="1">
        <f t="array" ref="G113">ApBs($B113,$C$2,G$3)</f>
        <v>7.7092682557865899</v>
      </c>
    </row>
    <row r="114" spans="2:7" x14ac:dyDescent="0.25">
      <c r="B114">
        <f t="shared" si="4"/>
        <v>109</v>
      </c>
      <c r="C114">
        <f t="shared" si="5"/>
        <v>9</v>
      </c>
      <c r="D114">
        <f t="shared" si="3"/>
        <v>9.7648880526303703</v>
      </c>
      <c r="E114" cm="1">
        <f t="array" ref="E114">ApBs($B114,$C$2,E$3)</f>
        <v>8.9989359826553752</v>
      </c>
      <c r="F114" cm="1">
        <f t="array" ref="F114">ApBs($B114,$C$2,F$3)</f>
        <v>8.8515799264609019</v>
      </c>
      <c r="G114" cm="1">
        <f t="array" ref="G114">ApBs($B114,$C$2,G$3)</f>
        <v>8.6429921174880029</v>
      </c>
    </row>
    <row r="115" spans="2:7" x14ac:dyDescent="0.25">
      <c r="B115">
        <f t="shared" si="4"/>
        <v>110</v>
      </c>
      <c r="C115">
        <f t="shared" si="5"/>
        <v>10</v>
      </c>
      <c r="D115">
        <f t="shared" si="3"/>
        <v>10.634640055214863</v>
      </c>
      <c r="E115" cm="1">
        <f t="array" ref="E115">ApBs($B115,$C$2,E$3)</f>
        <v>9.9995287354222366</v>
      </c>
      <c r="F115" cm="1">
        <f t="array" ref="F115">ApBs($B115,$C$2,F$3)</f>
        <v>9.8789355636262517</v>
      </c>
      <c r="G115" cm="1">
        <f t="array" ref="G115">ApBs($B115,$C$2,G$3)</f>
        <v>9.6009746626655392</v>
      </c>
    </row>
    <row r="116" spans="2:7" x14ac:dyDescent="0.25">
      <c r="B116">
        <f t="shared" si="4"/>
        <v>111</v>
      </c>
      <c r="C116">
        <f t="shared" si="5"/>
        <v>11</v>
      </c>
      <c r="D116">
        <f t="shared" si="3"/>
        <v>11.525416598843481</v>
      </c>
      <c r="E116" cm="1">
        <f t="array" ref="E116">ApBs($B116,$C$2,E$3)</f>
        <v>10.99979236468797</v>
      </c>
      <c r="F116" cm="1">
        <f t="array" ref="F116">ApBs($B116,$C$2,F$3)</f>
        <v>10.90328615766337</v>
      </c>
      <c r="G116" cm="1">
        <f t="array" ref="G116">ApBs($B116,$C$2,G$3)</f>
        <v>10.578385643888854</v>
      </c>
    </row>
    <row r="117" spans="2:7" x14ac:dyDescent="0.25">
      <c r="B117">
        <f t="shared" si="4"/>
        <v>112</v>
      </c>
      <c r="C117">
        <f t="shared" si="5"/>
        <v>12</v>
      </c>
      <c r="D117">
        <f t="shared" si="3"/>
        <v>12.434180760769749</v>
      </c>
      <c r="E117" cm="1">
        <f t="array" ref="E117">ApBs($B117,$C$2,E$3)</f>
        <v>11.999908759597799</v>
      </c>
      <c r="F117" cm="1">
        <f t="array" ref="F117">ApBs($B117,$C$2,F$3)</f>
        <v>11.923907904598138</v>
      </c>
      <c r="G117" cm="1">
        <f t="array" ref="G117">ApBs($B117,$C$2,G$3)</f>
        <v>11.570949952614042</v>
      </c>
    </row>
    <row r="118" spans="2:7" x14ac:dyDescent="0.25">
      <c r="B118">
        <f t="shared" si="4"/>
        <v>113</v>
      </c>
      <c r="C118">
        <f t="shared" si="5"/>
        <v>13</v>
      </c>
      <c r="D118">
        <f t="shared" si="3"/>
        <v>13.358223459838349</v>
      </c>
      <c r="E118" cm="1">
        <f t="array" ref="E118">ApBs($B118,$C$2,E$3)</f>
        <v>12.999959938670623</v>
      </c>
      <c r="F118" cm="1">
        <f t="array" ref="F118">ApBs($B118,$C$2,F$3)</f>
        <v>12.940807079880059</v>
      </c>
      <c r="G118" cm="1">
        <f t="array" ref="G118">ApBs($B118,$C$2,G$3)</f>
        <v>12.574989096418955</v>
      </c>
    </row>
    <row r="119" spans="2:7" x14ac:dyDescent="0.25">
      <c r="B119">
        <f t="shared" si="4"/>
        <v>114</v>
      </c>
      <c r="C119">
        <f t="shared" si="5"/>
        <v>14</v>
      </c>
      <c r="D119">
        <f t="shared" si="3"/>
        <v>14.295164131439858</v>
      </c>
      <c r="E119" cm="1">
        <f t="array" ref="E119">ApBs($B119,$C$2,E$3)</f>
        <v>13.999982400410737</v>
      </c>
      <c r="F119" cm="1">
        <f t="array" ref="F119">ApBs($B119,$C$2,F$3)</f>
        <v>13.954343298022209</v>
      </c>
      <c r="G119" cm="1">
        <f t="array" ref="G119">ApBs($B119,$C$2,G$3)</f>
        <v>13.587418473548521</v>
      </c>
    </row>
    <row r="120" spans="2:7" x14ac:dyDescent="0.25">
      <c r="B120">
        <f t="shared" si="4"/>
        <v>115</v>
      </c>
      <c r="C120">
        <f t="shared" si="5"/>
        <v>15</v>
      </c>
      <c r="D120">
        <f t="shared" si="3"/>
        <v>15.24293675786871</v>
      </c>
      <c r="E120" cm="1">
        <f t="array" ref="E120">ApBs($B120,$C$2,E$3)</f>
        <v>14.999992256145861</v>
      </c>
      <c r="F120" cm="1">
        <f t="array" ref="F120">ApBs($B120,$C$2,F$3)</f>
        <v>14.965009685412824</v>
      </c>
      <c r="G120" cm="1">
        <f t="array" ref="G120">ApBs($B120,$C$2,G$3)</f>
        <v>14.60571258131694</v>
      </c>
    </row>
    <row r="121" spans="2:7" x14ac:dyDescent="0.25">
      <c r="B121">
        <f t="shared" si="4"/>
        <v>116</v>
      </c>
      <c r="C121">
        <f t="shared" si="5"/>
        <v>16</v>
      </c>
      <c r="D121">
        <f t="shared" si="3"/>
        <v>16.199766665812152</v>
      </c>
      <c r="E121" cm="1">
        <f t="array" ref="E121">ApBs($B121,$C$2,E$3)</f>
        <v>15.999996584751299</v>
      </c>
      <c r="F121" cm="1">
        <f t="array" ref="F121">ApBs($B121,$C$2,F$3)</f>
        <v>15.97331420887186</v>
      </c>
      <c r="G121" cm="1">
        <f t="array" ref="G121">ApBs($B121,$C$2,G$3)</f>
        <v>15.627850136715169</v>
      </c>
    </row>
    <row r="122" spans="2:7" x14ac:dyDescent="0.25">
      <c r="B122">
        <f t="shared" si="4"/>
        <v>117</v>
      </c>
      <c r="C122">
        <f t="shared" si="5"/>
        <v>17</v>
      </c>
      <c r="D122">
        <f t="shared" si="3"/>
        <v>17.164142352124326</v>
      </c>
      <c r="E122" cm="1">
        <f t="array" ref="E122">ApBs($B122,$C$2,E$3)</f>
        <v>16.999998489383284</v>
      </c>
      <c r="F122" cm="1">
        <f t="array" ref="F122">ApBs($B122,$C$2,F$3)</f>
        <v>16.97972213405933</v>
      </c>
      <c r="G122" cm="1">
        <f t="array" ref="G122">ApBs($B122,$C$2,G$3)</f>
        <v>16.652249231960663</v>
      </c>
    </row>
    <row r="123" spans="2:7" x14ac:dyDescent="0.25">
      <c r="B123">
        <f t="shared" si="4"/>
        <v>118</v>
      </c>
      <c r="C123">
        <f t="shared" si="5"/>
        <v>18</v>
      </c>
      <c r="D123">
        <f t="shared" si="3"/>
        <v>18.134785465041041</v>
      </c>
      <c r="E123" cm="1">
        <f t="array" ref="E123">ApBs($B123,$C$2,E$3)</f>
        <v>17.999999329572269</v>
      </c>
      <c r="F123" cm="1">
        <f t="array" ref="F123">ApBs($B123,$C$2,F$3)</f>
        <v>17.984633342344726</v>
      </c>
      <c r="G123" cm="1">
        <f t="array" ref="G123">ApBs($B123,$C$2,G$3)</f>
        <v>17.677700138586829</v>
      </c>
    </row>
    <row r="124" spans="2:7" x14ac:dyDescent="0.25">
      <c r="B124">
        <f t="shared" si="4"/>
        <v>119</v>
      </c>
      <c r="C124">
        <f t="shared" si="5"/>
        <v>19</v>
      </c>
      <c r="D124">
        <f t="shared" si="3"/>
        <v>19.110621082274395</v>
      </c>
      <c r="E124" cm="1">
        <f t="array" ref="E124">ApBs($B124,$C$2,E$3)</f>
        <v>18.999999701344301</v>
      </c>
      <c r="F124" cm="1">
        <f t="array" ref="F124">ApBs($B124,$C$2,F$3)</f>
        <v>18.988378269047224</v>
      </c>
      <c r="G124" cm="1">
        <f t="array" ref="G124">ApBs($B124,$C$2,G$3)</f>
        <v>18.703300899470428</v>
      </c>
    </row>
    <row r="125" spans="2:7" x14ac:dyDescent="0.25">
      <c r="B125">
        <f t="shared" si="4"/>
        <v>120</v>
      </c>
      <c r="C125">
        <f t="shared" si="5"/>
        <v>20</v>
      </c>
      <c r="D125">
        <f t="shared" si="3"/>
        <v>20.090749639589049</v>
      </c>
      <c r="E125" cm="1">
        <f t="array" ref="E125">ApBs($B125,$C$2,E$3)</f>
        <v>19.999999866422712</v>
      </c>
      <c r="F125" cm="1">
        <f t="array" ref="F125">ApBs($B125,$C$2,F$3)</f>
        <v>19.991222899241311</v>
      </c>
      <c r="G125" cm="1">
        <f t="array" ref="G125">ApBs($B125,$C$2,G$3)</f>
        <v>19.728398764231077</v>
      </c>
    </row>
    <row r="126" spans="2:7" x14ac:dyDescent="0.25">
      <c r="B126">
        <f t="shared" si="4"/>
        <v>121</v>
      </c>
      <c r="C126">
        <f t="shared" si="5"/>
        <v>21</v>
      </c>
      <c r="D126">
        <f t="shared" si="3"/>
        <v>21.074421273359594</v>
      </c>
      <c r="E126" cm="1">
        <f t="array" ref="E126">ApBs($B126,$C$2,E$3)</f>
        <v>20.999999940002532</v>
      </c>
      <c r="F126" cm="1">
        <f t="array" ref="F126">ApBs($B126,$C$2,F$3)</f>
        <v>20.99337744580502</v>
      </c>
      <c r="G126" cm="1">
        <f t="array" ref="G126">ApBs($B126,$C$2,G$3)</f>
        <v>20.752538947218703</v>
      </c>
    </row>
    <row r="127" spans="2:7" x14ac:dyDescent="0.25">
      <c r="B127">
        <f t="shared" si="4"/>
        <v>122</v>
      </c>
      <c r="C127">
        <f t="shared" si="5"/>
        <v>22</v>
      </c>
      <c r="D127">
        <f t="shared" si="3"/>
        <v>22.061012923038483</v>
      </c>
      <c r="E127" cm="1">
        <f t="array" ref="E127">ApBs($B127,$C$2,E$3)</f>
        <v>21.999999972932603</v>
      </c>
      <c r="F127" cm="1">
        <f t="array" ref="F127">ApBs($B127,$C$2,F$3)</f>
        <v>21.995005853829699</v>
      </c>
      <c r="G127" cm="1">
        <f t="array" ref="G127">ApBs($B127,$C$2,G$3)</f>
        <v>21.775421097919569</v>
      </c>
    </row>
    <row r="128" spans="2:7" x14ac:dyDescent="0.25">
      <c r="B128">
        <f t="shared" si="4"/>
        <v>123</v>
      </c>
      <c r="C128">
        <f t="shared" si="5"/>
        <v>23</v>
      </c>
      <c r="D128">
        <f t="shared" si="3"/>
        <v>23.050008260278258</v>
      </c>
      <c r="E128" cm="1">
        <f t="array" ref="E128">ApBs($B128,$C$2,E$3)</f>
        <v>22.999999987733204</v>
      </c>
      <c r="F128" cm="1">
        <f t="array" ref="F128">ApBs($B128,$C$2,F$3)</f>
        <v>22.996234735756321</v>
      </c>
      <c r="G128" cm="1">
        <f t="array" ref="G128">ApBs($B128,$C$2,G$3)</f>
        <v>22.796863186946528</v>
      </c>
    </row>
    <row r="129" spans="2:7" x14ac:dyDescent="0.25">
      <c r="B129">
        <f t="shared" si="4"/>
        <v>124</v>
      </c>
      <c r="C129">
        <f t="shared" si="5"/>
        <v>24</v>
      </c>
      <c r="D129">
        <f t="shared" si="3"/>
        <v>24.040980336691341</v>
      </c>
      <c r="E129" cm="1">
        <f t="array" ref="E129">ApBs($B129,$C$2,E$3)</f>
        <v>23.999999994414896</v>
      </c>
      <c r="F129" cm="1">
        <f t="array" ref="F129">ApBs($B129,$C$2,F$3)</f>
        <v>23.997161155460937</v>
      </c>
      <c r="G129" cm="1">
        <f t="array" ref="G129">ApBs($B129,$C$2,G$3)</f>
        <v>23.816772126457654</v>
      </c>
    </row>
    <row r="130" spans="2:7" x14ac:dyDescent="0.25">
      <c r="B130">
        <f t="shared" si="4"/>
        <v>125</v>
      </c>
      <c r="C130">
        <f t="shared" si="5"/>
        <v>25</v>
      </c>
      <c r="D130">
        <f t="shared" si="3"/>
        <v>25.03357674244559</v>
      </c>
      <c r="E130" cm="1">
        <f t="array" ref="E130">ApBs($B130,$C$2,E$3)</f>
        <v>24.999999997445052</v>
      </c>
      <c r="F130" cm="1">
        <f t="array" ref="F130">ApBs($B130,$C$2,F$3)</f>
        <v>24.997859111092875</v>
      </c>
      <c r="G130" cm="1">
        <f t="array" ref="G130">ApBs($B130,$C$2,G$3)</f>
        <v>24.835120269628526</v>
      </c>
    </row>
    <row r="131" spans="2:7" x14ac:dyDescent="0.25">
      <c r="B131">
        <f t="shared" si="4"/>
        <v>126</v>
      </c>
      <c r="C131">
        <f t="shared" si="5"/>
        <v>26</v>
      </c>
      <c r="D131">
        <f t="shared" si="3"/>
        <v>26.027507019548288</v>
      </c>
      <c r="E131" cm="1">
        <f t="array" ref="E131">ApBs($B131,$C$2,E$3)</f>
        <v>25.999999998825626</v>
      </c>
      <c r="F131" cm="1">
        <f t="array" ref="F131">ApBs($B131,$C$2,F$3)</f>
        <v>25.998384778619556</v>
      </c>
      <c r="G131" cm="1">
        <f t="array" ref="G131">ApBs($B131,$C$2,G$3)</f>
        <v>25.851926895265173</v>
      </c>
    </row>
    <row r="132" spans="2:7" x14ac:dyDescent="0.25">
      <c r="B132">
        <f t="shared" si="4"/>
        <v>127</v>
      </c>
      <c r="C132">
        <f t="shared" si="5"/>
        <v>27</v>
      </c>
      <c r="D132">
        <f t="shared" si="3"/>
        <v>27.022532058996248</v>
      </c>
      <c r="E132" cm="1">
        <f t="array" ref="E132">ApBs($B132,$C$2,E$3)</f>
        <v>26.999999999457597</v>
      </c>
      <c r="F132" cm="1">
        <f t="array" ref="F132">ApBs($B132,$C$2,F$3)</f>
        <v>26.998780668412696</v>
      </c>
      <c r="G132" cm="1">
        <f t="array" ref="G132">ApBs($B132,$C$2,G$3)</f>
        <v>26.867243825649958</v>
      </c>
    </row>
    <row r="133" spans="2:7" x14ac:dyDescent="0.25">
      <c r="B133">
        <f t="shared" si="4"/>
        <v>128</v>
      </c>
      <c r="C133">
        <f t="shared" si="5"/>
        <v>28</v>
      </c>
      <c r="D133">
        <f t="shared" si="3"/>
        <v>28.018455217134729</v>
      </c>
      <c r="E133" cm="1">
        <f t="array" ref="E133">ApBs($B133,$C$2,E$3)</f>
        <v>27.999999999748262</v>
      </c>
      <c r="F133" cm="1">
        <f t="array" ref="F133">ApBs($B133,$C$2,F$3)</f>
        <v>27.999078872985915</v>
      </c>
      <c r="G133" cm="1">
        <f t="array" ref="G133">ApBs($B133,$C$2,G$3)</f>
        <v>27.881144410034516</v>
      </c>
    </row>
    <row r="134" spans="2:7" x14ac:dyDescent="0.25">
      <c r="B134">
        <f t="shared" si="4"/>
        <v>129</v>
      </c>
      <c r="C134">
        <f t="shared" si="5"/>
        <v>29</v>
      </c>
      <c r="D134">
        <f t="shared" ref="D134:D197" si="6">LN(1+EXP(($B134-$C$2)/($C$2*D$3)))*($C$2*D$3)</f>
        <v>29.015114904654155</v>
      </c>
      <c r="E134" cm="1">
        <f t="array" ref="E134">ApBs($B134,$C$2,E$3)</f>
        <v>28.999999999882597</v>
      </c>
      <c r="F134" cm="1">
        <f t="array" ref="F134">ApBs($B134,$C$2,F$3)</f>
        <v>28.999303577799544</v>
      </c>
      <c r="G134" cm="1">
        <f t="array" ref="G134">ApBs($B134,$C$2,G$3)</f>
        <v>28.8937152078901</v>
      </c>
    </row>
    <row r="135" spans="2:7" x14ac:dyDescent="0.25">
      <c r="B135">
        <f t="shared" ref="B135:B198" si="7">B134+1</f>
        <v>130</v>
      </c>
      <c r="C135">
        <f t="shared" ref="C135:C198" si="8">MAX(B135-$C$2,0)</f>
        <v>30</v>
      </c>
      <c r="D135">
        <f t="shared" si="6"/>
        <v>30.012378425688652</v>
      </c>
      <c r="E135" cm="1">
        <f t="array" ref="E135">ApBs($B135,$C$2,E$3)</f>
        <v>29.999999999944979</v>
      </c>
      <c r="F135" cm="1">
        <f t="array" ref="F135">ApBs($B135,$C$2,F$3)</f>
        <v>29.999472986964232</v>
      </c>
      <c r="G135" cm="1">
        <f t="array" ref="G135">ApBs($B135,$C$2,G$3)</f>
        <v>29.905049809842541</v>
      </c>
    </row>
    <row r="136" spans="2:7" x14ac:dyDescent="0.25">
      <c r="B136">
        <f t="shared" si="7"/>
        <v>131</v>
      </c>
      <c r="C136">
        <f t="shared" si="8"/>
        <v>31</v>
      </c>
      <c r="D136">
        <f t="shared" si="6"/>
        <v>31.010136870619192</v>
      </c>
      <c r="E136" cm="1">
        <f t="array" ref="E136">ApBs($B136,$C$2,E$3)</f>
        <v>30.999999999974097</v>
      </c>
      <c r="F136" cm="1">
        <f t="array" ref="F136">ApBs($B136,$C$2,F$3)</f>
        <v>30.999600791314762</v>
      </c>
      <c r="G136" cm="1">
        <f t="array" ref="G136">ApBs($B136,$C$2,G$3)</f>
        <v>30.91524433158876</v>
      </c>
    </row>
    <row r="137" spans="2:7" x14ac:dyDescent="0.25">
      <c r="B137">
        <f t="shared" si="7"/>
        <v>132</v>
      </c>
      <c r="C137">
        <f t="shared" si="8"/>
        <v>32</v>
      </c>
      <c r="D137">
        <f t="shared" si="6"/>
        <v>32.008300892070231</v>
      </c>
      <c r="E137" cm="1">
        <f t="array" ref="E137">ApBs($B137,$C$2,E$3)</f>
        <v>31.99999999998774</v>
      </c>
      <c r="F137" cm="1">
        <f t="array" ref="F137">ApBs($B137,$C$2,F$3)</f>
        <v>31.999697282479183</v>
      </c>
      <c r="G137" cm="1">
        <f t="array" ref="G137">ApBs($B137,$C$2,G$3)</f>
        <v>31.92439420281632</v>
      </c>
    </row>
    <row r="138" spans="2:7" x14ac:dyDescent="0.25">
      <c r="B138">
        <f t="shared" si="7"/>
        <v>133</v>
      </c>
      <c r="C138">
        <f t="shared" si="8"/>
        <v>33</v>
      </c>
      <c r="D138">
        <f t="shared" si="6"/>
        <v>33.006797217876297</v>
      </c>
      <c r="E138" cm="1">
        <f t="array" ref="E138">ApBs($B138,$C$2,E$3)</f>
        <v>32.999999999994174</v>
      </c>
      <c r="F138" cm="1">
        <f t="array" ref="F138">ApBs($B138,$C$2,F$3)</f>
        <v>32.999770195355929</v>
      </c>
      <c r="G138" cm="1">
        <f t="array" ref="G138">ApBs($B138,$C$2,G$3)</f>
        <v>32.932591947755064</v>
      </c>
    </row>
    <row r="139" spans="2:7" x14ac:dyDescent="0.25">
      <c r="B139">
        <f t="shared" si="7"/>
        <v>134</v>
      </c>
      <c r="C139">
        <f t="shared" si="8"/>
        <v>34</v>
      </c>
      <c r="D139">
        <f t="shared" si="6"/>
        <v>34.005565776802328</v>
      </c>
      <c r="E139" cm="1">
        <f t="array" ref="E139">ApBs($B139,$C$2,E$3)</f>
        <v>33.999999999997215</v>
      </c>
      <c r="F139" cm="1">
        <f t="array" ref="F139">ApBs($B139,$C$2,F$3)</f>
        <v>33.999825343526048</v>
      </c>
      <c r="G139" cm="1">
        <f t="array" ref="G139">ApBs($B139,$C$2,G$3)</f>
        <v>33.939925716591766</v>
      </c>
    </row>
    <row r="140" spans="2:7" x14ac:dyDescent="0.25">
      <c r="B140">
        <f t="shared" si="7"/>
        <v>135</v>
      </c>
      <c r="C140">
        <f t="shared" si="8"/>
        <v>35</v>
      </c>
      <c r="D140">
        <f t="shared" si="6"/>
        <v>35.004557332268867</v>
      </c>
      <c r="E140" cm="1">
        <f t="array" ref="E140">ApBs($B140,$C$2,E$3)</f>
        <v>34.999999999998657</v>
      </c>
      <c r="F140" cm="1">
        <f t="array" ref="F140">ApBs($B140,$C$2,F$3)</f>
        <v>34.999867097549881</v>
      </c>
      <c r="G140" cm="1">
        <f t="array" ref="G140">ApBs($B140,$C$2,G$3)</f>
        <v>34.946478378532191</v>
      </c>
    </row>
    <row r="141" spans="2:7" x14ac:dyDescent="0.25">
      <c r="B141">
        <f t="shared" si="7"/>
        <v>136</v>
      </c>
      <c r="C141">
        <f t="shared" si="8"/>
        <v>36</v>
      </c>
      <c r="D141">
        <f t="shared" si="6"/>
        <v>36.003731536259139</v>
      </c>
      <c r="E141" cm="1">
        <f t="array" ref="E141">ApBs($B141,$C$2,E$3)</f>
        <v>35.999999999999353</v>
      </c>
      <c r="F141" cm="1">
        <f t="array" ref="F141">ApBs($B141,$C$2,F$3)</f>
        <v>35.999898744482508</v>
      </c>
      <c r="G141" cm="1">
        <f t="array" ref="G141">ApBs($B141,$C$2,G$3)</f>
        <v>35.952327029133855</v>
      </c>
    </row>
    <row r="142" spans="2:7" x14ac:dyDescent="0.25">
      <c r="B142">
        <f t="shared" si="7"/>
        <v>137</v>
      </c>
      <c r="C142">
        <f t="shared" si="8"/>
        <v>37</v>
      </c>
      <c r="D142">
        <f t="shared" si="6"/>
        <v>37.003055330111266</v>
      </c>
      <c r="E142" cm="1">
        <f t="array" ref="E142">ApBs($B142,$C$2,E$3)</f>
        <v>36.999999999999687</v>
      </c>
      <c r="F142" cm="1">
        <f t="array" ref="F142">ApBs($B142,$C$2,F$3)</f>
        <v>36.999922757838299</v>
      </c>
      <c r="G142" cm="1">
        <f t="array" ref="G142">ApBs($B142,$C$2,G$3)</f>
        <v>36.957542798090813</v>
      </c>
    </row>
    <row r="143" spans="2:7" x14ac:dyDescent="0.25">
      <c r="B143">
        <f t="shared" si="7"/>
        <v>138</v>
      </c>
      <c r="C143">
        <f t="shared" si="8"/>
        <v>38</v>
      </c>
      <c r="D143">
        <f t="shared" si="6"/>
        <v>38.002501631246929</v>
      </c>
      <c r="E143" cm="1">
        <f t="array" ref="E143">ApBs($B143,$C$2,E$3)</f>
        <v>37.999999999999858</v>
      </c>
      <c r="F143" cm="1">
        <f t="array" ref="F143">ApBs($B143,$C$2,F$3)</f>
        <v>37.999941000182211</v>
      </c>
      <c r="G143" cm="1">
        <f t="array" ref="G143">ApBs($B143,$C$2,G$3)</f>
        <v>37.962190870306372</v>
      </c>
    </row>
    <row r="144" spans="2:7" x14ac:dyDescent="0.25">
      <c r="B144">
        <f t="shared" si="7"/>
        <v>139</v>
      </c>
      <c r="C144">
        <f t="shared" si="8"/>
        <v>39</v>
      </c>
      <c r="D144">
        <f t="shared" si="6"/>
        <v>39.002048255302626</v>
      </c>
      <c r="E144" cm="1">
        <f t="array" ref="E144">ApBs($B144,$C$2,E$3)</f>
        <v>38.999999999999922</v>
      </c>
      <c r="F144" cm="1">
        <f t="array" ref="F144">ApBs($B144,$C$2,F$3)</f>
        <v>38.999954875110419</v>
      </c>
      <c r="G144" cm="1">
        <f t="array" ref="G144">ApBs($B144,$C$2,G$3)</f>
        <v>38.966330654083471</v>
      </c>
    </row>
    <row r="145" spans="2:7" x14ac:dyDescent="0.25">
      <c r="B145">
        <f t="shared" si="7"/>
        <v>140</v>
      </c>
      <c r="C145">
        <f t="shared" si="8"/>
        <v>40</v>
      </c>
      <c r="D145">
        <f t="shared" si="6"/>
        <v>40.001677031864482</v>
      </c>
      <c r="E145" cm="1">
        <f t="array" ref="E145">ApBs($B145,$C$2,E$3)</f>
        <v>39.999999999999957</v>
      </c>
      <c r="F145" cm="1">
        <f t="array" ref="F145">ApBs($B145,$C$2,F$3)</f>
        <v>39.999965441253593</v>
      </c>
      <c r="G145" cm="1">
        <f t="array" ref="G145">ApBs($B145,$C$2,G$3)</f>
        <v>39.970016046675987</v>
      </c>
    </row>
    <row r="146" spans="2:7" x14ac:dyDescent="0.25">
      <c r="B146">
        <f t="shared" si="7"/>
        <v>141</v>
      </c>
      <c r="C146">
        <f t="shared" si="8"/>
        <v>41</v>
      </c>
      <c r="D146">
        <f t="shared" si="6"/>
        <v>41.00137307929792</v>
      </c>
      <c r="E146" cm="1">
        <f t="array" ref="E146">ApBs($B146,$C$2,E$3)</f>
        <v>40.999999999999979</v>
      </c>
      <c r="F146" cm="1">
        <f t="array" ref="F146">ApBs($B146,$C$2,F$3)</f>
        <v>40.999973497802848</v>
      </c>
      <c r="G146" cm="1">
        <f t="array" ref="G146">ApBs($B146,$C$2,G$3)</f>
        <v>40.973295760188179</v>
      </c>
    </row>
    <row r="147" spans="2:7" x14ac:dyDescent="0.25">
      <c r="B147">
        <f t="shared" si="7"/>
        <v>142</v>
      </c>
      <c r="C147">
        <f t="shared" si="8"/>
        <v>42</v>
      </c>
      <c r="D147">
        <f t="shared" si="6"/>
        <v>42.001124210226557</v>
      </c>
      <c r="E147" cm="1">
        <f t="array" ref="E147">ApBs($B147,$C$2,E$3)</f>
        <v>41.999999999999993</v>
      </c>
      <c r="F147" cm="1">
        <f t="array" ref="F147">ApBs($B147,$C$2,F$3)</f>
        <v>41.999979648690527</v>
      </c>
      <c r="G147" cm="1">
        <f t="array" ref="G147">ApBs($B147,$C$2,G$3)</f>
        <v>41.97621368063939</v>
      </c>
    </row>
    <row r="148" spans="2:7" x14ac:dyDescent="0.25">
      <c r="B148">
        <f t="shared" si="7"/>
        <v>143</v>
      </c>
      <c r="C148">
        <f t="shared" si="8"/>
        <v>43</v>
      </c>
      <c r="D148">
        <f t="shared" si="6"/>
        <v>43.000920444241373</v>
      </c>
      <c r="E148" cm="1">
        <f t="array" ref="E148">ApBs($B148,$C$2,E$3)</f>
        <v>42.999999999999993</v>
      </c>
      <c r="F148" cm="1">
        <f t="array" ref="F148">ApBs($B148,$C$2,F$3)</f>
        <v>42.999984350774533</v>
      </c>
      <c r="G148" cm="1">
        <f t="array" ref="G148">ApBs($B148,$C$2,G$3)</f>
        <v>42.978809240543406</v>
      </c>
    </row>
    <row r="149" spans="2:7" x14ac:dyDescent="0.25">
      <c r="B149">
        <f t="shared" si="7"/>
        <v>144</v>
      </c>
      <c r="C149">
        <f t="shared" si="8"/>
        <v>44</v>
      </c>
      <c r="D149">
        <f t="shared" si="6"/>
        <v>44.000753608580041</v>
      </c>
      <c r="E149" cm="1">
        <f t="array" ref="E149">ApBs($B149,$C$2,E$3)</f>
        <v>44</v>
      </c>
      <c r="F149" cm="1">
        <f t="array" ref="F149">ApBs($B149,$C$2,F$3)</f>
        <v>43.999987950033592</v>
      </c>
      <c r="G149" cm="1">
        <f t="array" ref="G149">ApBs($B149,$C$2,G$3)</f>
        <v>43.981117791083612</v>
      </c>
    </row>
    <row r="150" spans="2:7" x14ac:dyDescent="0.25">
      <c r="B150">
        <f t="shared" si="7"/>
        <v>145</v>
      </c>
      <c r="C150">
        <f t="shared" si="8"/>
        <v>45</v>
      </c>
      <c r="D150">
        <f t="shared" si="6"/>
        <v>45.000617010948616</v>
      </c>
      <c r="E150" cm="1">
        <f t="array" ref="E150">ApBs($B150,$C$2,E$3)</f>
        <v>45</v>
      </c>
      <c r="F150" cm="1">
        <f t="array" ref="F150">ApBs($B150,$C$2,F$3)</f>
        <v>44.99999070877498</v>
      </c>
      <c r="G150" cm="1">
        <f t="array" ref="G150">ApBs($B150,$C$2,G$3)</f>
        <v>44.983170964294239</v>
      </c>
    </row>
    <row r="151" spans="2:7" x14ac:dyDescent="0.25">
      <c r="B151">
        <f t="shared" si="7"/>
        <v>146</v>
      </c>
      <c r="C151">
        <f t="shared" si="8"/>
        <v>46</v>
      </c>
      <c r="D151">
        <f t="shared" si="6"/>
        <v>46.000505171488498</v>
      </c>
      <c r="E151" cm="1">
        <f t="array" ref="E151">ApBs($B151,$C$2,E$3)</f>
        <v>46</v>
      </c>
      <c r="F151" cm="1">
        <f t="array" ref="F151">ApBs($B151,$C$2,F$3)</f>
        <v>45.999992826102094</v>
      </c>
      <c r="G151" cm="1">
        <f t="array" ref="G151">ApBs($B151,$C$2,G$3)</f>
        <v>45.984997018900025</v>
      </c>
    </row>
    <row r="152" spans="2:7" x14ac:dyDescent="0.25">
      <c r="B152">
        <f t="shared" si="7"/>
        <v>147</v>
      </c>
      <c r="C152">
        <f t="shared" si="8"/>
        <v>47</v>
      </c>
      <c r="D152">
        <f t="shared" si="6"/>
        <v>47.000413603220551</v>
      </c>
      <c r="E152" cm="1">
        <f t="array" ref="E152">ApBs($B152,$C$2,E$3)</f>
        <v>47</v>
      </c>
      <c r="F152" cm="1">
        <f t="array" ref="F152">ApBs($B152,$C$2,F$3)</f>
        <v>46.999994453324689</v>
      </c>
      <c r="G152" cm="1">
        <f t="array" ref="G152">ApBs($B152,$C$2,G$3)</f>
        <v>46.986621165870332</v>
      </c>
    </row>
    <row r="153" spans="2:7" x14ac:dyDescent="0.25">
      <c r="B153">
        <f t="shared" si="7"/>
        <v>148</v>
      </c>
      <c r="C153">
        <f t="shared" si="8"/>
        <v>48</v>
      </c>
      <c r="D153">
        <f t="shared" si="6"/>
        <v>48.000338632215012</v>
      </c>
      <c r="E153" cm="1">
        <f t="array" ref="E153">ApBs($B153,$C$2,E$3)</f>
        <v>48</v>
      </c>
      <c r="F153" cm="1">
        <f t="array" ref="F153">ApBs($B153,$C$2,F$3)</f>
        <v>47.999995705572005</v>
      </c>
      <c r="G153" cm="1">
        <f t="array" ref="G153">ApBs($B153,$C$2,G$3)</f>
        <v>47.988065871504993</v>
      </c>
    </row>
    <row r="154" spans="2:7" x14ac:dyDescent="0.25">
      <c r="B154">
        <f t="shared" si="7"/>
        <v>149</v>
      </c>
      <c r="C154">
        <f t="shared" si="8"/>
        <v>49</v>
      </c>
      <c r="D154">
        <f t="shared" si="6"/>
        <v>49.000277250310248</v>
      </c>
      <c r="E154" cm="1">
        <f t="array" ref="E154">ApBs($B154,$C$2,E$3)</f>
        <v>49</v>
      </c>
      <c r="F154" cm="1">
        <f t="array" ref="F154">ApBs($B154,$C$2,F$3)</f>
        <v>48.99999667055291</v>
      </c>
      <c r="G154" cm="1">
        <f t="array" ref="G154">ApBs($B154,$C$2,G$3)</f>
        <v>48.989351137139735</v>
      </c>
    </row>
    <row r="155" spans="2:7" x14ac:dyDescent="0.25">
      <c r="B155">
        <f t="shared" si="7"/>
        <v>150</v>
      </c>
      <c r="C155">
        <f t="shared" si="8"/>
        <v>50</v>
      </c>
      <c r="D155">
        <f t="shared" si="6"/>
        <v>50.000226994496089</v>
      </c>
      <c r="E155" cm="1">
        <f t="array" ref="E155">ApBs($B155,$C$2,E$3)</f>
        <v>50</v>
      </c>
      <c r="F155" cm="1">
        <f t="array" ref="F155">ApBs($B155,$C$2,F$3)</f>
        <v>49.999997415170803</v>
      </c>
      <c r="G155" cm="1">
        <f t="array" ref="G155">ApBs($B155,$C$2,G$3)</f>
        <v>49.990494755458016</v>
      </c>
    </row>
    <row r="156" spans="2:7" x14ac:dyDescent="0.25">
      <c r="B156">
        <f t="shared" si="7"/>
        <v>151</v>
      </c>
      <c r="C156">
        <f t="shared" si="8"/>
        <v>51</v>
      </c>
      <c r="D156">
        <f t="shared" si="6"/>
        <v>51.000185848139417</v>
      </c>
      <c r="E156" cm="1">
        <f t="array" ref="E156">ApBs($B156,$C$2,E$3)</f>
        <v>51</v>
      </c>
      <c r="F156" cm="1">
        <f t="array" ref="F156">ApBs($B156,$C$2,F$3)</f>
        <v>50.999997990523866</v>
      </c>
      <c r="G156" cm="1">
        <f t="array" ref="G156">ApBs($B156,$C$2,G$3)</f>
        <v>50.991512544015201</v>
      </c>
    </row>
    <row r="157" spans="2:7" x14ac:dyDescent="0.25">
      <c r="B157">
        <f t="shared" si="7"/>
        <v>152</v>
      </c>
      <c r="C157">
        <f t="shared" si="8"/>
        <v>52</v>
      </c>
      <c r="D157">
        <f t="shared" si="6"/>
        <v>52.000152160099745</v>
      </c>
      <c r="E157" cm="1">
        <f t="array" ref="E157">ApBs($B157,$C$2,E$3)</f>
        <v>52</v>
      </c>
      <c r="F157" cm="1">
        <f t="array" ref="F157">ApBs($B157,$C$2,F$3)</f>
        <v>51.999998435688987</v>
      </c>
      <c r="G157" cm="1">
        <f t="array" ref="G157">ApBs($B157,$C$2,G$3)</f>
        <v>51.992418556990813</v>
      </c>
    </row>
    <row r="158" spans="2:7" x14ac:dyDescent="0.25">
      <c r="B158">
        <f t="shared" si="7"/>
        <v>153</v>
      </c>
      <c r="C158">
        <f t="shared" si="8"/>
        <v>53</v>
      </c>
      <c r="D158">
        <f t="shared" si="6"/>
        <v>53.000124578496667</v>
      </c>
      <c r="E158" cm="1">
        <f t="array" ref="E158">ApBs($B158,$C$2,E$3)</f>
        <v>53</v>
      </c>
      <c r="F158" cm="1">
        <f t="array" ref="F158">ApBs($B158,$C$2,F$3)</f>
        <v>52.99999878058857</v>
      </c>
      <c r="G158" cm="1">
        <f t="array" ref="G158">ApBs($B158,$C$2,G$3)</f>
        <v>52.993225276439787</v>
      </c>
    </row>
    <row r="159" spans="2:7" x14ac:dyDescent="0.25">
      <c r="B159">
        <f t="shared" si="7"/>
        <v>154</v>
      </c>
      <c r="C159">
        <f t="shared" si="8"/>
        <v>54</v>
      </c>
      <c r="D159">
        <f t="shared" si="6"/>
        <v>54.000101996476729</v>
      </c>
      <c r="E159" cm="1">
        <f t="array" ref="E159">ApBs($B159,$C$2,E$3)</f>
        <v>54</v>
      </c>
      <c r="F159" cm="1">
        <f t="array" ref="F159">ApBs($B159,$C$2,F$3)</f>
        <v>53.999999048164902</v>
      </c>
      <c r="G159" cm="1">
        <f t="array" ref="G159">ApBs($B159,$C$2,G$3)</f>
        <v>53.993943784455084</v>
      </c>
    </row>
    <row r="160" spans="2:7" x14ac:dyDescent="0.25">
      <c r="B160">
        <f t="shared" si="7"/>
        <v>155</v>
      </c>
      <c r="C160">
        <f t="shared" si="8"/>
        <v>55</v>
      </c>
      <c r="D160">
        <f t="shared" si="6"/>
        <v>55.000083507806593</v>
      </c>
      <c r="E160" cm="1">
        <f t="array" ref="E160">ApBs($B160,$C$2,E$3)</f>
        <v>55</v>
      </c>
      <c r="F160" cm="1">
        <f t="array" ref="F160">ApBs($B160,$C$2,F$3)</f>
        <v>54.999999256031401</v>
      </c>
      <c r="G160" cm="1">
        <f t="array" ref="G160">ApBs($B160,$C$2,G$3)</f>
        <v>54.994583917714976</v>
      </c>
    </row>
    <row r="161" spans="2:7" x14ac:dyDescent="0.25">
      <c r="B161">
        <f t="shared" si="7"/>
        <v>156</v>
      </c>
      <c r="C161">
        <f t="shared" si="8"/>
        <v>56</v>
      </c>
      <c r="D161">
        <f t="shared" si="6"/>
        <v>56.000068370512878</v>
      </c>
      <c r="E161" cm="1">
        <f t="array" ref="E161">ApBs($B161,$C$2,E$3)</f>
        <v>56</v>
      </c>
      <c r="F161" cm="1">
        <f t="array" ref="F161">ApBs($B161,$C$2,F$3)</f>
        <v>55.999999417728056</v>
      </c>
      <c r="G161" cm="1">
        <f t="array" ref="G161">ApBs($B161,$C$2,G$3)</f>
        <v>55.995154405889785</v>
      </c>
    </row>
    <row r="162" spans="2:7" x14ac:dyDescent="0.25">
      <c r="B162">
        <f t="shared" si="7"/>
        <v>157</v>
      </c>
      <c r="C162">
        <f t="shared" si="8"/>
        <v>57</v>
      </c>
      <c r="D162">
        <f t="shared" si="6"/>
        <v>57.000055977110868</v>
      </c>
      <c r="E162" cm="1">
        <f t="array" ref="E162">ApBs($B162,$C$2,E$3)</f>
        <v>57</v>
      </c>
      <c r="F162" cm="1">
        <f t="array" ref="F162">ApBs($B162,$C$2,F$3)</f>
        <v>56.999999543677134</v>
      </c>
      <c r="G162" cm="1">
        <f t="array" ref="G162">ApBs($B162,$C$2,G$3)</f>
        <v>56.99566299534635</v>
      </c>
    </row>
    <row r="163" spans="2:7" x14ac:dyDescent="0.25">
      <c r="B163">
        <f t="shared" si="7"/>
        <v>158</v>
      </c>
      <c r="C163">
        <f t="shared" si="8"/>
        <v>58</v>
      </c>
      <c r="D163">
        <f t="shared" si="6"/>
        <v>58.000045830228643</v>
      </c>
      <c r="E163" cm="1">
        <f t="array" ref="E163">ApBs($B163,$C$2,E$3)</f>
        <v>58</v>
      </c>
      <c r="F163" cm="1">
        <f t="array" ref="F163">ApBs($B163,$C$2,F$3)</f>
        <v>57.9999996419116</v>
      </c>
      <c r="G163" cm="1">
        <f t="array" ref="G163">ApBs($B163,$C$2,G$3)</f>
        <v>57.996116559524694</v>
      </c>
    </row>
    <row r="164" spans="2:7" x14ac:dyDescent="0.25">
      <c r="B164">
        <f t="shared" si="7"/>
        <v>159</v>
      </c>
      <c r="C164">
        <f t="shared" si="8"/>
        <v>59</v>
      </c>
      <c r="D164">
        <f t="shared" si="6"/>
        <v>59.000037522648789</v>
      </c>
      <c r="E164" cm="1">
        <f t="array" ref="E164">ApBs($B164,$C$2,E$3)</f>
        <v>59</v>
      </c>
      <c r="F164" cm="1">
        <f t="array" ref="F164">ApBs($B164,$C$2,F$3)</f>
        <v>58.999999718630903</v>
      </c>
      <c r="G164" cm="1">
        <f t="array" ref="G164">ApBs($B164,$C$2,G$3)</f>
        <v>58.996521197280892</v>
      </c>
    </row>
    <row r="165" spans="2:7" x14ac:dyDescent="0.25">
      <c r="B165">
        <f t="shared" si="7"/>
        <v>160</v>
      </c>
      <c r="C165">
        <f t="shared" si="8"/>
        <v>60</v>
      </c>
      <c r="D165">
        <f t="shared" si="6"/>
        <v>60.000030720967388</v>
      </c>
      <c r="E165" cm="1">
        <f t="array" ref="E165">ApBs($B165,$C$2,E$3)</f>
        <v>60</v>
      </c>
      <c r="F165" cm="1">
        <f t="array" ref="F165">ApBs($B165,$C$2,F$3)</f>
        <v>59.999999778625849</v>
      </c>
      <c r="G165" cm="1">
        <f t="array" ref="G165">ApBs($B165,$C$2,G$3)</f>
        <v>59.996882320401902</v>
      </c>
    </row>
    <row r="166" spans="2:7" x14ac:dyDescent="0.25">
      <c r="B166">
        <f t="shared" si="7"/>
        <v>161</v>
      </c>
      <c r="C166">
        <f t="shared" si="8"/>
        <v>61</v>
      </c>
      <c r="D166">
        <f t="shared" si="6"/>
        <v>61.000025152214768</v>
      </c>
      <c r="E166" cm="1">
        <f t="array" ref="E166">ApBs($B166,$C$2,E$3)</f>
        <v>61</v>
      </c>
      <c r="F166" cm="1">
        <f t="array" ref="F166">ApBs($B166,$C$2,F$3)</f>
        <v>60.999999825603396</v>
      </c>
      <c r="G166" cm="1">
        <f t="array" ref="G166">ApBs($B166,$C$2,G$3)</f>
        <v>60.997204731404054</v>
      </c>
    </row>
    <row r="167" spans="2:7" x14ac:dyDescent="0.25">
      <c r="B167">
        <f t="shared" si="7"/>
        <v>162</v>
      </c>
      <c r="C167">
        <f t="shared" si="8"/>
        <v>62</v>
      </c>
      <c r="D167">
        <f t="shared" si="6"/>
        <v>62.000020592901137</v>
      </c>
      <c r="E167" cm="1">
        <f t="array" ref="E167">ApBs($B167,$C$2,E$3)</f>
        <v>62</v>
      </c>
      <c r="F167" cm="1">
        <f t="array" ref="F167">ApBs($B167,$C$2,F$3)</f>
        <v>61.999999862435686</v>
      </c>
      <c r="G167" cm="1">
        <f t="array" ref="G167">ApBs($B167,$C$2,G$3)</f>
        <v>61.997492692634417</v>
      </c>
    </row>
    <row r="168" spans="2:7" x14ac:dyDescent="0.25">
      <c r="B168">
        <f t="shared" si="7"/>
        <v>163</v>
      </c>
      <c r="C168">
        <f t="shared" si="8"/>
        <v>63</v>
      </c>
      <c r="D168">
        <f t="shared" si="6"/>
        <v>63.000016860047737</v>
      </c>
      <c r="E168" cm="1">
        <f t="array" ref="E168">ApBs($B168,$C$2,E$3)</f>
        <v>63</v>
      </c>
      <c r="F168" cm="1">
        <f t="array" ref="F168">ApBs($B168,$C$2,F$3)</f>
        <v>62.999999891350868</v>
      </c>
      <c r="G168" cm="1">
        <f t="array" ref="G168">ApBs($B168,$C$2,G$3)</f>
        <v>62.997749987602674</v>
      </c>
    </row>
    <row r="169" spans="2:7" x14ac:dyDescent="0.25">
      <c r="B169">
        <f t="shared" si="7"/>
        <v>164</v>
      </c>
      <c r="C169">
        <f t="shared" si="8"/>
        <v>64</v>
      </c>
      <c r="D169">
        <f t="shared" si="6"/>
        <v>64.0000138038438</v>
      </c>
      <c r="E169" cm="1">
        <f t="array" ref="E169">ApBs($B169,$C$2,E$3)</f>
        <v>64</v>
      </c>
      <c r="F169" cm="1">
        <f t="array" ref="F169">ApBs($B169,$C$2,F$3)</f>
        <v>63.99999991407978</v>
      </c>
      <c r="G169" cm="1">
        <f t="array" ref="G169">ApBs($B169,$C$2,G$3)</f>
        <v>63.997979975384695</v>
      </c>
    </row>
    <row r="170" spans="2:7" x14ac:dyDescent="0.25">
      <c r="B170">
        <f t="shared" si="7"/>
        <v>165</v>
      </c>
      <c r="C170">
        <f t="shared" si="8"/>
        <v>65</v>
      </c>
      <c r="D170">
        <f t="shared" si="6"/>
        <v>65.00001130163426</v>
      </c>
      <c r="E170" cm="1">
        <f t="array" ref="E170">ApBs($B170,$C$2,E$3)</f>
        <v>65</v>
      </c>
      <c r="F170" cm="1">
        <f t="array" ref="F170">ApBs($B170,$C$2,F$3)</f>
        <v>64.999999931968659</v>
      </c>
      <c r="G170" cm="1">
        <f t="array" ref="G170">ApBs($B170,$C$2,G$3)</f>
        <v>64.998185638856597</v>
      </c>
    </row>
    <row r="171" spans="2:7" x14ac:dyDescent="0.25">
      <c r="B171">
        <f t="shared" si="7"/>
        <v>166</v>
      </c>
      <c r="C171">
        <f t="shared" si="8"/>
        <v>66</v>
      </c>
      <c r="D171">
        <f t="shared" si="6"/>
        <v>66.000009252997415</v>
      </c>
      <c r="E171" cm="1">
        <f t="array" ref="E171">ApBs($B171,$C$2,E$3)</f>
        <v>66</v>
      </c>
      <c r="F171" cm="1">
        <f t="array" ref="F171">ApBs($B171,$C$2,F$3)</f>
        <v>65.999999946065955</v>
      </c>
      <c r="G171" cm="1">
        <f t="array" ref="G171">ApBs($B171,$C$2,G$3)</f>
        <v>65.998369627442131</v>
      </c>
    </row>
    <row r="172" spans="2:7" x14ac:dyDescent="0.25">
      <c r="B172">
        <f t="shared" si="7"/>
        <v>167</v>
      </c>
      <c r="C172">
        <f t="shared" si="8"/>
        <v>67</v>
      </c>
      <c r="D172">
        <f t="shared" si="6"/>
        <v>67.000007575714818</v>
      </c>
      <c r="E172" cm="1">
        <f t="array" ref="E172">ApBs($B172,$C$2,E$3)</f>
        <v>67</v>
      </c>
      <c r="F172" cm="1">
        <f t="array" ref="F172">ApBs($B172,$C$2,F$3)</f>
        <v>66.999999957189232</v>
      </c>
      <c r="G172" cm="1">
        <f t="array" ref="G172">ApBs($B172,$C$2,G$3)</f>
        <v>66.998534294985859</v>
      </c>
    </row>
    <row r="173" spans="2:7" x14ac:dyDescent="0.25">
      <c r="B173">
        <f t="shared" si="7"/>
        <v>168</v>
      </c>
      <c r="C173">
        <f t="shared" si="8"/>
        <v>68</v>
      </c>
      <c r="D173">
        <f t="shared" si="6"/>
        <v>68.000006202471553</v>
      </c>
      <c r="E173" cm="1">
        <f t="array" ref="E173">ApBs($B173,$C$2,E$3)</f>
        <v>68</v>
      </c>
      <c r="F173" cm="1">
        <f t="array" ref="F173">ApBs($B173,$C$2,F$3)</f>
        <v>67.999999965976812</v>
      </c>
      <c r="G173" cm="1">
        <f t="array" ref="G173">ApBs($B173,$C$2,G$3)</f>
        <v>67.998681733299705</v>
      </c>
    </row>
    <row r="174" spans="2:7" x14ac:dyDescent="0.25">
      <c r="B174">
        <f t="shared" si="7"/>
        <v>169</v>
      </c>
      <c r="C174">
        <f t="shared" si="8"/>
        <v>69</v>
      </c>
      <c r="D174">
        <f t="shared" si="6"/>
        <v>69.000005078154786</v>
      </c>
      <c r="E174" cm="1">
        <f t="array" ref="E174">ApBs($B174,$C$2,E$3)</f>
        <v>69</v>
      </c>
      <c r="F174" cm="1">
        <f t="array" ref="F174">ApBs($B174,$C$2,F$3)</f>
        <v>68.999999972927725</v>
      </c>
      <c r="G174" cm="1">
        <f t="array" ref="G174">ApBs($B174,$C$2,G$3)</f>
        <v>68.998813801872544</v>
      </c>
    </row>
    <row r="175" spans="2:7" x14ac:dyDescent="0.25">
      <c r="B175">
        <f t="shared" si="7"/>
        <v>170</v>
      </c>
      <c r="C175">
        <f t="shared" si="8"/>
        <v>70</v>
      </c>
      <c r="D175">
        <f t="shared" si="6"/>
        <v>70.000004157641868</v>
      </c>
      <c r="E175" cm="1">
        <f t="array" ref="E175">ApBs($B175,$C$2,E$3)</f>
        <v>70</v>
      </c>
      <c r="F175" cm="1">
        <f t="array" ref="F175">ApBs($B175,$C$2,F$3)</f>
        <v>69.999999978432598</v>
      </c>
      <c r="G175" cm="1">
        <f t="array" ref="G175">ApBs($B175,$C$2,G$3)</f>
        <v>69.99893215417849</v>
      </c>
    </row>
    <row r="176" spans="2:7" x14ac:dyDescent="0.25">
      <c r="B176">
        <f t="shared" si="7"/>
        <v>171</v>
      </c>
      <c r="C176">
        <f t="shared" si="8"/>
        <v>71</v>
      </c>
      <c r="D176">
        <f t="shared" si="6"/>
        <v>71.00000340398951</v>
      </c>
      <c r="E176" cm="1">
        <f t="array" ref="E176">ApBs($B176,$C$2,E$3)</f>
        <v>71</v>
      </c>
      <c r="F176" cm="1">
        <f t="array" ref="F176">ApBs($B176,$C$2,F$3)</f>
        <v>70.999999982797561</v>
      </c>
      <c r="G176" cm="1">
        <f t="array" ref="G176">ApBs($B176,$C$2,G$3)</f>
        <v>70.999038260972085</v>
      </c>
    </row>
    <row r="177" spans="2:7" x14ac:dyDescent="0.25">
      <c r="B177">
        <f t="shared" si="7"/>
        <v>172</v>
      </c>
      <c r="C177">
        <f t="shared" si="8"/>
        <v>72</v>
      </c>
      <c r="D177">
        <f t="shared" si="6"/>
        <v>72.000002786951072</v>
      </c>
      <c r="E177" cm="1">
        <f t="array" ref="E177">ApBs($B177,$C$2,E$3)</f>
        <v>72</v>
      </c>
      <c r="F177" cm="1">
        <f t="array" ref="F177">ApBs($B177,$C$2,F$3)</f>
        <v>71.99999998626285</v>
      </c>
      <c r="G177" cm="1">
        <f t="array" ref="G177">ApBs($B177,$C$2,G$3)</f>
        <v>71.999133430915364</v>
      </c>
    </row>
    <row r="178" spans="2:7" x14ac:dyDescent="0.25">
      <c r="B178">
        <f t="shared" si="7"/>
        <v>173</v>
      </c>
      <c r="C178">
        <f t="shared" si="8"/>
        <v>73</v>
      </c>
      <c r="D178">
        <f t="shared" si="6"/>
        <v>73.000002281762661</v>
      </c>
      <c r="E178" cm="1">
        <f t="array" ref="E178">ApBs($B178,$C$2,E$3)</f>
        <v>73</v>
      </c>
      <c r="F178" cm="1">
        <f t="array" ref="F178">ApBs($B178,$C$2,F$3)</f>
        <v>72.999999989017184</v>
      </c>
      <c r="G178" cm="1">
        <f t="array" ref="G178">ApBs($B178,$C$2,G$3)</f>
        <v>72.999218828842785</v>
      </c>
    </row>
    <row r="179" spans="2:7" x14ac:dyDescent="0.25">
      <c r="B179">
        <f t="shared" si="7"/>
        <v>174</v>
      </c>
      <c r="C179">
        <f t="shared" si="8"/>
        <v>74</v>
      </c>
      <c r="D179">
        <f t="shared" si="6"/>
        <v>74.00000186814934</v>
      </c>
      <c r="E179" cm="1">
        <f t="array" ref="E179">ApBs($B179,$C$2,E$3)</f>
        <v>74</v>
      </c>
      <c r="F179" cm="1">
        <f t="array" ref="F179">ApBs($B179,$C$2,F$3)</f>
        <v>73.999999991209023</v>
      </c>
      <c r="G179" cm="1">
        <f t="array" ref="G179">ApBs($B179,$C$2,G$3)</f>
        <v>73.999295491935939</v>
      </c>
    </row>
    <row r="180" spans="2:7" x14ac:dyDescent="0.25">
      <c r="B180">
        <f t="shared" si="7"/>
        <v>175</v>
      </c>
      <c r="C180">
        <f t="shared" si="8"/>
        <v>75</v>
      </c>
      <c r="D180">
        <f t="shared" si="6"/>
        <v>75.000001529511366</v>
      </c>
      <c r="E180" cm="1">
        <f t="array" ref="E180">ApBs($B180,$C$2,E$3)</f>
        <v>75</v>
      </c>
      <c r="F180" cm="1">
        <f t="array" ref="F180">ApBs($B180,$C$2,F$3)</f>
        <v>74.999999992955296</v>
      </c>
      <c r="G180" cm="1">
        <f t="array" ref="G180">ApBs($B180,$C$2,G$3)</f>
        <v>74.999364344048587</v>
      </c>
    </row>
    <row r="181" spans="2:7" x14ac:dyDescent="0.25">
      <c r="B181">
        <f t="shared" si="7"/>
        <v>176</v>
      </c>
      <c r="C181">
        <f t="shared" si="8"/>
        <v>76</v>
      </c>
      <c r="D181">
        <f t="shared" si="6"/>
        <v>76.000001252258031</v>
      </c>
      <c r="E181" cm="1">
        <f t="array" ref="E181">ApBs($B181,$C$2,E$3)</f>
        <v>76</v>
      </c>
      <c r="F181" cm="1">
        <f t="array" ref="F181">ApBs($B181,$C$2,F$3)</f>
        <v>75.999999994348215</v>
      </c>
      <c r="G181" cm="1">
        <f t="array" ref="G181">ApBs($B181,$C$2,G$3)</f>
        <v>75.999426208395334</v>
      </c>
    </row>
    <row r="182" spans="2:7" x14ac:dyDescent="0.25">
      <c r="B182">
        <f t="shared" si="7"/>
        <v>177</v>
      </c>
      <c r="C182">
        <f t="shared" si="8"/>
        <v>77</v>
      </c>
      <c r="D182">
        <f t="shared" si="6"/>
        <v>77.000001025262193</v>
      </c>
      <c r="E182" cm="1">
        <f t="array" ref="E182">ApBs($B182,$C$2,E$3)</f>
        <v>77</v>
      </c>
      <c r="F182" cm="1">
        <f t="array" ref="F182">ApBs($B182,$C$2,F$3)</f>
        <v>76.999999995460556</v>
      </c>
      <c r="G182" cm="1">
        <f t="array" ref="G182">ApBs($B182,$C$2,G$3)</f>
        <v>76.99948181879266</v>
      </c>
    </row>
    <row r="183" spans="2:7" x14ac:dyDescent="0.25">
      <c r="B183">
        <f t="shared" si="7"/>
        <v>178</v>
      </c>
      <c r="C183">
        <f t="shared" si="8"/>
        <v>78</v>
      </c>
      <c r="D183">
        <f t="shared" si="6"/>
        <v>78.000000839413687</v>
      </c>
      <c r="E183" cm="1">
        <f t="array" ref="E183">ApBs($B183,$C$2,E$3)</f>
        <v>78</v>
      </c>
      <c r="F183" cm="1">
        <f t="array" ref="F183">ApBs($B183,$C$2,F$3)</f>
        <v>77.999999996349871</v>
      </c>
      <c r="G183" cm="1">
        <f t="array" ref="G183">ApBs($B183,$C$2,G$3)</f>
        <v>77.999531829619485</v>
      </c>
    </row>
    <row r="184" spans="2:7" x14ac:dyDescent="0.25">
      <c r="B184">
        <f t="shared" si="7"/>
        <v>179</v>
      </c>
      <c r="C184">
        <f t="shared" si="8"/>
        <v>79</v>
      </c>
      <c r="D184">
        <f t="shared" si="6"/>
        <v>79.000000687253817</v>
      </c>
      <c r="E184" cm="1">
        <f t="array" ref="E184">ApBs($B184,$C$2,E$3)</f>
        <v>79</v>
      </c>
      <c r="F184" cm="1">
        <f t="array" ref="F184">ApBs($B184,$C$2,F$3)</f>
        <v>78.999999997061678</v>
      </c>
      <c r="G184" cm="1">
        <f t="array" ref="G184">ApBs($B184,$C$2,G$3)</f>
        <v>78.999576824644791</v>
      </c>
    </row>
    <row r="185" spans="2:7" x14ac:dyDescent="0.25">
      <c r="B185">
        <f t="shared" si="7"/>
        <v>180</v>
      </c>
      <c r="C185">
        <f t="shared" si="8"/>
        <v>80</v>
      </c>
      <c r="D185">
        <f t="shared" si="6"/>
        <v>80.000000562675837</v>
      </c>
      <c r="E185" cm="1">
        <f t="array" ref="E185">ApBs($B185,$C$2,E$3)</f>
        <v>80</v>
      </c>
      <c r="F185" cm="1">
        <f t="array" ref="F185">ApBs($B185,$C$2,F$3)</f>
        <v>79.999999997632059</v>
      </c>
      <c r="G185" cm="1">
        <f t="array" ref="G185">ApBs($B185,$C$2,G$3)</f>
        <v>79.999617324853233</v>
      </c>
    </row>
    <row r="186" spans="2:7" x14ac:dyDescent="0.25">
      <c r="B186">
        <f t="shared" si="7"/>
        <v>181</v>
      </c>
      <c r="C186">
        <f t="shared" si="8"/>
        <v>81</v>
      </c>
      <c r="D186">
        <f t="shared" si="6"/>
        <v>81.000000460680027</v>
      </c>
      <c r="E186" cm="1">
        <f t="array" ref="E186">ApBs($B186,$C$2,E$3)</f>
        <v>81</v>
      </c>
      <c r="F186" cm="1">
        <f t="array" ref="F186">ApBs($B186,$C$2,F$3)</f>
        <v>80.999999998089635</v>
      </c>
      <c r="G186" cm="1">
        <f t="array" ref="G186">ApBs($B186,$C$2,G$3)</f>
        <v>80.99965379538402</v>
      </c>
    </row>
    <row r="187" spans="2:7" x14ac:dyDescent="0.25">
      <c r="B187">
        <f t="shared" si="7"/>
        <v>182</v>
      </c>
      <c r="C187">
        <f t="shared" si="8"/>
        <v>82</v>
      </c>
      <c r="D187">
        <f t="shared" si="6"/>
        <v>82.000000377172896</v>
      </c>
      <c r="E187" cm="1">
        <f t="array" ref="E187">ApBs($B187,$C$2,E$3)</f>
        <v>82</v>
      </c>
      <c r="F187" cm="1">
        <f t="array" ref="F187">ApBs($B187,$C$2,F$3)</f>
        <v>81.999999998457113</v>
      </c>
      <c r="G187" cm="1">
        <f t="array" ref="G187">ApBs($B187,$C$2,G$3)</f>
        <v>81.999686651685238</v>
      </c>
    </row>
    <row r="188" spans="2:7" x14ac:dyDescent="0.25">
      <c r="B188">
        <f t="shared" si="7"/>
        <v>183</v>
      </c>
      <c r="C188">
        <f t="shared" si="8"/>
        <v>83</v>
      </c>
      <c r="D188">
        <f t="shared" si="6"/>
        <v>83.000000308803067</v>
      </c>
      <c r="E188" cm="1">
        <f t="array" ref="E188">ApBs($B188,$C$2,E$3)</f>
        <v>83</v>
      </c>
      <c r="F188" cm="1">
        <f t="array" ref="F188">ApBs($B188,$C$2,F$3)</f>
        <v>82.999999998752543</v>
      </c>
      <c r="G188" cm="1">
        <f t="array" ref="G188">ApBs($B188,$C$2,G$3)</f>
        <v>82.999716264973969</v>
      </c>
    </row>
    <row r="189" spans="2:7" x14ac:dyDescent="0.25">
      <c r="B189">
        <f t="shared" si="7"/>
        <v>184</v>
      </c>
      <c r="C189">
        <f t="shared" si="8"/>
        <v>84</v>
      </c>
      <c r="D189">
        <f t="shared" si="6"/>
        <v>84.000000252826567</v>
      </c>
      <c r="E189" cm="1">
        <f t="array" ref="E189">ApBs($B189,$C$2,E$3)</f>
        <v>84</v>
      </c>
      <c r="F189" cm="1">
        <f t="array" ref="F189">ApBs($B189,$C$2,F$3)</f>
        <v>83.999999998990333</v>
      </c>
      <c r="G189" cm="1">
        <f t="array" ref="G189">ApBs($B189,$C$2,G$3)</f>
        <v>83.999742967081772</v>
      </c>
    </row>
    <row r="190" spans="2:7" x14ac:dyDescent="0.25">
      <c r="B190">
        <f t="shared" si="7"/>
        <v>185</v>
      </c>
      <c r="C190">
        <f t="shared" si="8"/>
        <v>85</v>
      </c>
      <c r="D190">
        <f t="shared" si="6"/>
        <v>85.000000206996873</v>
      </c>
      <c r="E190" cm="1">
        <f t="array" ref="E190">ApBs($B190,$C$2,E$3)</f>
        <v>85</v>
      </c>
      <c r="F190" cm="1">
        <f t="array" ref="F190">ApBs($B190,$C$2,F$3)</f>
        <v>84.999999999181924</v>
      </c>
      <c r="G190" cm="1">
        <f t="array" ref="G190">ApBs($B190,$C$2,G$3)</f>
        <v>84.99976705475629</v>
      </c>
    </row>
    <row r="191" spans="2:7" x14ac:dyDescent="0.25">
      <c r="B191">
        <f t="shared" si="7"/>
        <v>186</v>
      </c>
      <c r="C191">
        <f t="shared" si="8"/>
        <v>86</v>
      </c>
      <c r="D191">
        <f t="shared" si="6"/>
        <v>86.000000169474703</v>
      </c>
      <c r="E191" cm="1">
        <f t="array" ref="E191">ApBs($B191,$C$2,E$3)</f>
        <v>86</v>
      </c>
      <c r="F191" cm="1">
        <f t="array" ref="F191">ApBs($B191,$C$2,F$3)</f>
        <v>85.999999999336481</v>
      </c>
      <c r="G191" cm="1">
        <f t="array" ref="G191">ApBs($B191,$C$2,G$3)</f>
        <v>85.999788793480889</v>
      </c>
    </row>
    <row r="192" spans="2:7" x14ac:dyDescent="0.25">
      <c r="B192">
        <f t="shared" si="7"/>
        <v>187</v>
      </c>
      <c r="C192">
        <f t="shared" si="8"/>
        <v>87</v>
      </c>
      <c r="D192">
        <f t="shared" si="6"/>
        <v>87.00000013875416</v>
      </c>
      <c r="E192" cm="1">
        <f t="array" ref="E192">ApBs($B192,$C$2,E$3)</f>
        <v>87</v>
      </c>
      <c r="F192" cm="1">
        <f t="array" ref="F192">ApBs($B192,$C$2,F$3)</f>
        <v>86.999999999461266</v>
      </c>
      <c r="G192" cm="1">
        <f t="array" ref="G192">ApBs($B192,$C$2,G$3)</f>
        <v>86.999808420867893</v>
      </c>
    </row>
    <row r="193" spans="2:7" x14ac:dyDescent="0.25">
      <c r="B193">
        <f t="shared" si="7"/>
        <v>188</v>
      </c>
      <c r="C193">
        <f t="shared" si="8"/>
        <v>88</v>
      </c>
      <c r="D193">
        <f t="shared" si="6"/>
        <v>88.000000113602312</v>
      </c>
      <c r="E193" cm="1">
        <f t="array" ref="E193">ApBs($B193,$C$2,E$3)</f>
        <v>88</v>
      </c>
      <c r="F193" cm="1">
        <f t="array" ref="F193">ApBs($B193,$C$2,F$3)</f>
        <v>87.999999999562135</v>
      </c>
      <c r="G193" cm="1">
        <f t="array" ref="G193">ApBs($B193,$C$2,G$3)</f>
        <v>87.999826149673737</v>
      </c>
    </row>
    <row r="194" spans="2:7" x14ac:dyDescent="0.25">
      <c r="B194">
        <f t="shared" si="7"/>
        <v>189</v>
      </c>
      <c r="C194">
        <f t="shared" si="8"/>
        <v>89</v>
      </c>
      <c r="D194">
        <f t="shared" si="6"/>
        <v>89.000000093009689</v>
      </c>
      <c r="E194" cm="1">
        <f t="array" ref="E194">ApBs($B194,$C$2,E$3)</f>
        <v>89</v>
      </c>
      <c r="F194" cm="1">
        <f t="array" ref="F194">ApBs($B194,$C$2,F$3)</f>
        <v>88.999999999643734</v>
      </c>
      <c r="G194" cm="1">
        <f t="array" ref="G194">ApBs($B194,$C$2,G$3)</f>
        <v>88.999842170479042</v>
      </c>
    </row>
    <row r="195" spans="2:7" x14ac:dyDescent="0.25">
      <c r="B195">
        <f t="shared" si="7"/>
        <v>190</v>
      </c>
      <c r="C195">
        <f t="shared" si="8"/>
        <v>90</v>
      </c>
      <c r="D195">
        <f t="shared" si="6"/>
        <v>90.000000076149888</v>
      </c>
      <c r="E195" cm="1">
        <f t="array" ref="E195">ApBs($B195,$C$2,E$3)</f>
        <v>90</v>
      </c>
      <c r="F195" cm="1">
        <f t="array" ref="F195">ApBs($B195,$C$2,F$3)</f>
        <v>89.999999999709843</v>
      </c>
      <c r="G195" cm="1">
        <f t="array" ref="G195">ApBs($B195,$C$2,G$3)</f>
        <v>89.99985665407209</v>
      </c>
    </row>
    <row r="196" spans="2:7" x14ac:dyDescent="0.25">
      <c r="B196">
        <f t="shared" si="7"/>
        <v>191</v>
      </c>
      <c r="C196">
        <f t="shared" si="8"/>
        <v>91</v>
      </c>
      <c r="D196">
        <f t="shared" si="6"/>
        <v>91.00000006234626</v>
      </c>
      <c r="E196" cm="1">
        <f t="array" ref="E196">ApBs($B196,$C$2,E$3)</f>
        <v>91</v>
      </c>
      <c r="F196" cm="1">
        <f t="array" ref="F196">ApBs($B196,$C$2,F$3)</f>
        <v>90.99999999976346</v>
      </c>
      <c r="G196" cm="1">
        <f t="array" ref="G196">ApBs($B196,$C$2,G$3)</f>
        <v>90.99986975356876</v>
      </c>
    </row>
    <row r="197" spans="2:7" x14ac:dyDescent="0.25">
      <c r="B197">
        <f t="shared" si="7"/>
        <v>192</v>
      </c>
      <c r="C197">
        <f t="shared" si="8"/>
        <v>92</v>
      </c>
      <c r="D197">
        <f t="shared" si="6"/>
        <v>92.000000051044793</v>
      </c>
      <c r="E197" cm="1">
        <f t="array" ref="E197">ApBs($B197,$C$2,E$3)</f>
        <v>92</v>
      </c>
      <c r="F197" cm="1">
        <f t="array" ref="F197">ApBs($B197,$C$2,F$3)</f>
        <v>91.999999999806974</v>
      </c>
      <c r="G197" cm="1">
        <f t="array" ref="G197">ApBs($B197,$C$2,G$3)</f>
        <v>91.999881606299255</v>
      </c>
    </row>
    <row r="198" spans="2:7" x14ac:dyDescent="0.25">
      <c r="B198">
        <f t="shared" si="7"/>
        <v>193</v>
      </c>
      <c r="C198">
        <f t="shared" si="8"/>
        <v>93</v>
      </c>
      <c r="D198">
        <f t="shared" ref="D198:D236" si="9">LN(1+EXP(($B198-$C$2)/($C$2*D$3)))*($C$2*D$3)</f>
        <v>93.000000041791964</v>
      </c>
      <c r="E198" cm="1">
        <f t="array" ref="E198">ApBs($B198,$C$2,E$3)</f>
        <v>93</v>
      </c>
      <c r="F198" cm="1">
        <f t="array" ref="F198">ApBs($B198,$C$2,F$3)</f>
        <v>92.999999999842316</v>
      </c>
      <c r="G198" cm="1">
        <f t="array" ref="G198">ApBs($B198,$C$2,G$3)</f>
        <v>92.999892335487502</v>
      </c>
    </row>
    <row r="199" spans="2:7" x14ac:dyDescent="0.25">
      <c r="B199">
        <f t="shared" ref="B199:B236" si="10">B198+1</f>
        <v>194</v>
      </c>
      <c r="C199">
        <f t="shared" ref="C199:C236" si="11">MAX(B199-$C$2,0)</f>
        <v>94</v>
      </c>
      <c r="D199">
        <f t="shared" si="9"/>
        <v>94.00000003421637</v>
      </c>
      <c r="E199" cm="1">
        <f t="array" ref="E199">ApBs($B199,$C$2,E$3)</f>
        <v>94</v>
      </c>
      <c r="F199" cm="1">
        <f t="array" ref="F199">ApBs($B199,$C$2,F$3)</f>
        <v>93.999999999871065</v>
      </c>
      <c r="G199" cm="1">
        <f t="array" ref="G199">ApBs($B199,$C$2,G$3)</f>
        <v>93.999902051746872</v>
      </c>
    </row>
    <row r="200" spans="2:7" x14ac:dyDescent="0.25">
      <c r="B200">
        <f t="shared" si="10"/>
        <v>195</v>
      </c>
      <c r="C200">
        <f t="shared" si="11"/>
        <v>95</v>
      </c>
      <c r="D200">
        <f t="shared" si="9"/>
        <v>95.000000028013986</v>
      </c>
      <c r="E200" cm="1">
        <f t="array" ref="E200">ApBs($B200,$C$2,E$3)</f>
        <v>95</v>
      </c>
      <c r="F200" cm="1">
        <f t="array" ref="F200">ApBs($B200,$C$2,F$3)</f>
        <v>94.999999999894484</v>
      </c>
      <c r="G200" cm="1">
        <f t="array" ref="G200">ApBs($B200,$C$2,G$3)</f>
        <v>94.99991085441259</v>
      </c>
    </row>
    <row r="201" spans="2:7" x14ac:dyDescent="0.25">
      <c r="B201">
        <f t="shared" si="10"/>
        <v>196</v>
      </c>
      <c r="C201">
        <f t="shared" si="11"/>
        <v>96</v>
      </c>
      <c r="D201">
        <f t="shared" si="9"/>
        <v>96.000000022935907</v>
      </c>
      <c r="E201" cm="1">
        <f t="array" ref="E201">ApBs($B201,$C$2,E$3)</f>
        <v>96</v>
      </c>
      <c r="F201" cm="1">
        <f t="array" ref="F201">ApBs($B201,$C$2,F$3)</f>
        <v>95.999999999913555</v>
      </c>
      <c r="G201" cm="1">
        <f t="array" ref="G201">ApBs($B201,$C$2,G$3)</f>
        <v>95.999918832729293</v>
      </c>
    </row>
    <row r="202" spans="2:7" x14ac:dyDescent="0.25">
      <c r="B202">
        <f t="shared" si="10"/>
        <v>197</v>
      </c>
      <c r="C202">
        <f t="shared" si="11"/>
        <v>97</v>
      </c>
      <c r="D202">
        <f t="shared" si="9"/>
        <v>97.000000018778323</v>
      </c>
      <c r="E202" cm="1">
        <f t="array" ref="E202">ApBs($B202,$C$2,E$3)</f>
        <v>97</v>
      </c>
      <c r="F202" cm="1">
        <f t="array" ref="F202">ApBs($B202,$C$2,F$3)</f>
        <v>96.999999999929102</v>
      </c>
      <c r="G202" cm="1">
        <f t="array" ref="G202">ApBs($B202,$C$2,G$3)</f>
        <v>96.999926066909794</v>
      </c>
    </row>
    <row r="203" spans="2:7" x14ac:dyDescent="0.25">
      <c r="B203">
        <f t="shared" si="10"/>
        <v>198</v>
      </c>
      <c r="C203">
        <f t="shared" si="11"/>
        <v>98</v>
      </c>
      <c r="D203">
        <f t="shared" si="9"/>
        <v>98.000000015374411</v>
      </c>
      <c r="E203" cm="1">
        <f t="array" ref="E203">ApBs($B203,$C$2,E$3)</f>
        <v>98</v>
      </c>
      <c r="F203" cm="1">
        <f t="array" ref="F203">ApBs($B203,$C$2,F$3)</f>
        <v>97.999999999941807</v>
      </c>
      <c r="G203" cm="1">
        <f t="array" ref="G203">ApBs($B203,$C$2,G$3)</f>
        <v>97.999932629079467</v>
      </c>
    </row>
    <row r="204" spans="2:7" x14ac:dyDescent="0.25">
      <c r="B204">
        <f t="shared" si="10"/>
        <v>199</v>
      </c>
      <c r="C204">
        <f t="shared" si="11"/>
        <v>99</v>
      </c>
      <c r="D204">
        <f t="shared" si="9"/>
        <v>99.000000012587492</v>
      </c>
      <c r="E204" cm="1">
        <f t="array" ref="E204">ApBs($B204,$C$2,E$3)</f>
        <v>99</v>
      </c>
      <c r="F204" cm="1">
        <f t="array" ref="F204">ApBs($B204,$C$2,F$3)</f>
        <v>98.999999999952195</v>
      </c>
      <c r="G204" cm="1">
        <f t="array" ref="G204">ApBs($B204,$C$2,G$3)</f>
        <v>98.999938584118823</v>
      </c>
    </row>
    <row r="205" spans="2:7" x14ac:dyDescent="0.25">
      <c r="B205">
        <f t="shared" si="10"/>
        <v>200</v>
      </c>
      <c r="C205">
        <f t="shared" si="11"/>
        <v>100</v>
      </c>
      <c r="D205">
        <f t="shared" si="9"/>
        <v>100.00000001030577</v>
      </c>
      <c r="E205" cm="1">
        <f t="array" ref="E205">ApBs($B205,$C$2,E$3)</f>
        <v>100</v>
      </c>
      <c r="F205" cm="1">
        <f t="array" ref="F205">ApBs($B205,$C$2,F$3)</f>
        <v>99.999999999960693</v>
      </c>
      <c r="G205" cm="1">
        <f t="array" ref="G205">ApBs($B205,$C$2,G$3)</f>
        <v>99.999943990415659</v>
      </c>
    </row>
    <row r="206" spans="2:7" x14ac:dyDescent="0.25">
      <c r="B206">
        <f t="shared" si="10"/>
        <v>201</v>
      </c>
      <c r="C206">
        <f t="shared" si="11"/>
        <v>101</v>
      </c>
      <c r="D206">
        <f t="shared" si="9"/>
        <v>101.00000000843764</v>
      </c>
      <c r="E206" cm="1">
        <f t="array" ref="E206">ApBs($B206,$C$2,E$3)</f>
        <v>101</v>
      </c>
      <c r="F206" cm="1">
        <f t="array" ref="F206">ApBs($B206,$C$2,F$3)</f>
        <v>100.99999999996764</v>
      </c>
      <c r="G206" cm="1">
        <f t="array" ref="G206">ApBs($B206,$C$2,G$3)</f>
        <v>100.99994890053679</v>
      </c>
    </row>
    <row r="207" spans="2:7" x14ac:dyDescent="0.25">
      <c r="B207">
        <f t="shared" si="10"/>
        <v>202</v>
      </c>
      <c r="C207">
        <f t="shared" si="11"/>
        <v>102</v>
      </c>
      <c r="D207">
        <f t="shared" si="9"/>
        <v>102.00000000690815</v>
      </c>
      <c r="E207" cm="1">
        <f t="array" ref="E207">ApBs($B207,$C$2,E$3)</f>
        <v>102</v>
      </c>
      <c r="F207" cm="1">
        <f t="array" ref="F207">ApBs($B207,$C$2,F$3)</f>
        <v>101.99999999997334</v>
      </c>
      <c r="G207" cm="1">
        <f t="array" ref="G207">ApBs($B207,$C$2,G$3)</f>
        <v>101.99995336182803</v>
      </c>
    </row>
    <row r="208" spans="2:7" x14ac:dyDescent="0.25">
      <c r="B208">
        <f t="shared" si="10"/>
        <v>203</v>
      </c>
      <c r="C208">
        <f t="shared" si="11"/>
        <v>103</v>
      </c>
      <c r="D208">
        <f t="shared" si="9"/>
        <v>103.00000000565592</v>
      </c>
      <c r="E208" cm="1">
        <f t="array" ref="E208">ApBs($B208,$C$2,E$3)</f>
        <v>103</v>
      </c>
      <c r="F208" cm="1">
        <f t="array" ref="F208">ApBs($B208,$C$2,F$3)</f>
        <v>102.99999999997802</v>
      </c>
      <c r="G208" cm="1">
        <f t="array" ref="G208">ApBs($B208,$C$2,G$3)</f>
        <v>102.99995741695038</v>
      </c>
    </row>
    <row r="209" spans="2:7" x14ac:dyDescent="0.25">
      <c r="B209">
        <f t="shared" si="10"/>
        <v>204</v>
      </c>
      <c r="C209">
        <f t="shared" si="11"/>
        <v>104</v>
      </c>
      <c r="D209">
        <f t="shared" si="9"/>
        <v>104.00000000463068</v>
      </c>
      <c r="E209" cm="1">
        <f t="array" ref="E209">ApBs($B209,$C$2,E$3)</f>
        <v>104</v>
      </c>
      <c r="F209" cm="1">
        <f t="array" ref="F209">ApBs($B209,$C$2,F$3)</f>
        <v>103.99999999998187</v>
      </c>
      <c r="G209" cm="1">
        <f t="array" ref="G209">ApBs($B209,$C$2,G$3)</f>
        <v>103.99996110435961</v>
      </c>
    </row>
    <row r="210" spans="2:7" x14ac:dyDescent="0.25">
      <c r="B210">
        <f t="shared" si="10"/>
        <v>205</v>
      </c>
      <c r="C210">
        <f t="shared" si="11"/>
        <v>105</v>
      </c>
      <c r="D210">
        <f t="shared" si="9"/>
        <v>105.00000000379129</v>
      </c>
      <c r="E210" cm="1">
        <f t="array" ref="E210">ApBs($B210,$C$2,E$3)</f>
        <v>105</v>
      </c>
      <c r="F210" cm="1">
        <f t="array" ref="F210">ApBs($B210,$C$2,F$3)</f>
        <v>104.99999999998501</v>
      </c>
      <c r="G210" cm="1">
        <f t="array" ref="G210">ApBs($B210,$C$2,G$3)</f>
        <v>104.99996445873494</v>
      </c>
    </row>
    <row r="211" spans="2:7" x14ac:dyDescent="0.25">
      <c r="B211">
        <f t="shared" si="10"/>
        <v>206</v>
      </c>
      <c r="C211">
        <f t="shared" si="11"/>
        <v>106</v>
      </c>
      <c r="D211">
        <f t="shared" si="9"/>
        <v>106.00000000310403</v>
      </c>
      <c r="E211" cm="1">
        <f t="array" ref="E211">ApBs($B211,$C$2,E$3)</f>
        <v>106</v>
      </c>
      <c r="F211" cm="1">
        <f t="array" ref="F211">ApBs($B211,$C$2,F$3)</f>
        <v>105.99999999998762</v>
      </c>
      <c r="G211" cm="1">
        <f t="array" ref="G211">ApBs($B211,$C$2,G$3)</f>
        <v>105.9999675113628</v>
      </c>
    </row>
    <row r="212" spans="2:7" x14ac:dyDescent="0.25">
      <c r="B212">
        <f t="shared" si="10"/>
        <v>207</v>
      </c>
      <c r="C212">
        <f t="shared" si="11"/>
        <v>107</v>
      </c>
      <c r="D212">
        <f t="shared" si="9"/>
        <v>107.00000000254136</v>
      </c>
      <c r="E212" cm="1">
        <f t="array" ref="E212">ApBs($B212,$C$2,E$3)</f>
        <v>107</v>
      </c>
      <c r="F212" cm="1">
        <f t="array" ref="F212">ApBs($B212,$C$2,F$3)</f>
        <v>106.99999999998974</v>
      </c>
      <c r="G212" cm="1">
        <f t="array" ref="G212">ApBs($B212,$C$2,G$3)</f>
        <v>106.99997029048028</v>
      </c>
    </row>
    <row r="213" spans="2:7" x14ac:dyDescent="0.25">
      <c r="B213">
        <f t="shared" si="10"/>
        <v>208</v>
      </c>
      <c r="C213">
        <f t="shared" si="11"/>
        <v>108</v>
      </c>
      <c r="D213">
        <f t="shared" si="9"/>
        <v>108.00000000208071</v>
      </c>
      <c r="E213" cm="1">
        <f t="array" ref="E213">ApBs($B213,$C$2,E$3)</f>
        <v>108</v>
      </c>
      <c r="F213" cm="1">
        <f t="array" ref="F213">ApBs($B213,$C$2,F$3)</f>
        <v>107.9999999999915</v>
      </c>
      <c r="G213" cm="1">
        <f t="array" ref="G213">ApBs($B213,$C$2,G$3)</f>
        <v>107.99997282158276</v>
      </c>
    </row>
    <row r="214" spans="2:7" x14ac:dyDescent="0.25">
      <c r="B214">
        <f t="shared" si="10"/>
        <v>209</v>
      </c>
      <c r="C214">
        <f t="shared" si="11"/>
        <v>109</v>
      </c>
      <c r="D214">
        <f t="shared" si="9"/>
        <v>109.00000000170353</v>
      </c>
      <c r="E214" cm="1">
        <f t="array" ref="E214">ApBs($B214,$C$2,E$3)</f>
        <v>109</v>
      </c>
      <c r="F214" cm="1">
        <f t="array" ref="F214">ApBs($B214,$C$2,F$3)</f>
        <v>108.99999999999297</v>
      </c>
      <c r="G214" cm="1">
        <f t="array" ref="G214">ApBs($B214,$C$2,G$3)</f>
        <v>108.99997512769941</v>
      </c>
    </row>
    <row r="215" spans="2:7" x14ac:dyDescent="0.25">
      <c r="B215">
        <f t="shared" si="10"/>
        <v>210</v>
      </c>
      <c r="C215">
        <f t="shared" si="11"/>
        <v>110</v>
      </c>
      <c r="D215">
        <f t="shared" si="9"/>
        <v>110.00000000139474</v>
      </c>
      <c r="E215" cm="1">
        <f t="array" ref="E215">ApBs($B215,$C$2,E$3)</f>
        <v>110</v>
      </c>
      <c r="F215" cm="1">
        <f t="array" ref="F215">ApBs($B215,$C$2,F$3)</f>
        <v>109.99999999999416</v>
      </c>
      <c r="G215" cm="1">
        <f t="array" ref="G215">ApBs($B215,$C$2,G$3)</f>
        <v>109.99997722964011</v>
      </c>
    </row>
    <row r="216" spans="2:7" x14ac:dyDescent="0.25">
      <c r="B216">
        <f t="shared" si="10"/>
        <v>211</v>
      </c>
      <c r="C216">
        <f t="shared" si="11"/>
        <v>111</v>
      </c>
      <c r="D216">
        <f t="shared" si="9"/>
        <v>111.00000000114191</v>
      </c>
      <c r="E216" cm="1">
        <f t="array" ref="E216">ApBs($B216,$C$2,E$3)</f>
        <v>111</v>
      </c>
      <c r="F216" cm="1">
        <f t="array" ref="F216">ApBs($B216,$C$2,F$3)</f>
        <v>110.99999999999515</v>
      </c>
      <c r="G216" cm="1">
        <f t="array" ref="G216">ApBs($B216,$C$2,G$3)</f>
        <v>110.99997914621694</v>
      </c>
    </row>
    <row r="217" spans="2:7" x14ac:dyDescent="0.25">
      <c r="B217">
        <f t="shared" si="10"/>
        <v>212</v>
      </c>
      <c r="C217">
        <f t="shared" si="11"/>
        <v>112</v>
      </c>
      <c r="D217">
        <f t="shared" si="9"/>
        <v>112.0000000009349</v>
      </c>
      <c r="E217" cm="1">
        <f t="array" ref="E217">ApBs($B217,$C$2,E$3)</f>
        <v>112</v>
      </c>
      <c r="F217" cm="1">
        <f t="array" ref="F217">ApBs($B217,$C$2,F$3)</f>
        <v>111.99999999999596</v>
      </c>
      <c r="G217" cm="1">
        <f t="array" ref="G217">ApBs($B217,$C$2,G$3)</f>
        <v>111.99998089444273</v>
      </c>
    </row>
    <row r="218" spans="2:7" x14ac:dyDescent="0.25">
      <c r="B218">
        <f t="shared" si="10"/>
        <v>213</v>
      </c>
      <c r="C218">
        <f t="shared" si="11"/>
        <v>113</v>
      </c>
      <c r="D218">
        <f t="shared" si="9"/>
        <v>113.00000000076545</v>
      </c>
      <c r="E218" cm="1">
        <f t="array" ref="E218">ApBs($B218,$C$2,E$3)</f>
        <v>113</v>
      </c>
      <c r="F218" cm="1">
        <f t="array" ref="F218">ApBs($B218,$C$2,F$3)</f>
        <v>112.99999999999665</v>
      </c>
      <c r="G218" cm="1">
        <f t="array" ref="G218">ApBs($B218,$C$2,G$3)</f>
        <v>112.99998248970927</v>
      </c>
    </row>
    <row r="219" spans="2:7" x14ac:dyDescent="0.25">
      <c r="B219">
        <f t="shared" si="10"/>
        <v>214</v>
      </c>
      <c r="C219">
        <f t="shared" si="11"/>
        <v>114</v>
      </c>
      <c r="D219">
        <f t="shared" si="9"/>
        <v>114.0000000006267</v>
      </c>
      <c r="E219" cm="1">
        <f t="array" ref="E219">ApBs($B219,$C$2,E$3)</f>
        <v>114</v>
      </c>
      <c r="F219" cm="1">
        <f t="array" ref="F219">ApBs($B219,$C$2,F$3)</f>
        <v>113.9999999999972</v>
      </c>
      <c r="G219" cm="1">
        <f t="array" ref="G219">ApBs($B219,$C$2,G$3)</f>
        <v>113.99998394594731</v>
      </c>
    </row>
    <row r="220" spans="2:7" x14ac:dyDescent="0.25">
      <c r="B220">
        <f t="shared" si="10"/>
        <v>215</v>
      </c>
      <c r="C220">
        <f t="shared" si="11"/>
        <v>115</v>
      </c>
      <c r="D220">
        <f t="shared" si="9"/>
        <v>115.0000000005131</v>
      </c>
      <c r="E220" cm="1">
        <f t="array" ref="E220">ApBs($B220,$C$2,E$3)</f>
        <v>115</v>
      </c>
      <c r="F220" cm="1">
        <f t="array" ref="F220">ApBs($B220,$C$2,F$3)</f>
        <v>114.99999999999768</v>
      </c>
      <c r="G220" cm="1">
        <f t="array" ref="G220">ApBs($B220,$C$2,G$3)</f>
        <v>114.99998527577019</v>
      </c>
    </row>
    <row r="221" spans="2:7" x14ac:dyDescent="0.25">
      <c r="B221">
        <f t="shared" si="10"/>
        <v>216</v>
      </c>
      <c r="C221">
        <f t="shared" si="11"/>
        <v>116</v>
      </c>
      <c r="D221">
        <f t="shared" si="9"/>
        <v>116.00000000042009</v>
      </c>
      <c r="E221" cm="1">
        <f t="array" ref="E221">ApBs($B221,$C$2,E$3)</f>
        <v>116</v>
      </c>
      <c r="F221" cm="1">
        <f t="array" ref="F221">ApBs($B221,$C$2,F$3)</f>
        <v>115.99999999999807</v>
      </c>
      <c r="G221" cm="1">
        <f t="array" ref="G221">ApBs($B221,$C$2,G$3)</f>
        <v>115.99998649060289</v>
      </c>
    </row>
    <row r="222" spans="2:7" x14ac:dyDescent="0.25">
      <c r="B222">
        <f t="shared" si="10"/>
        <v>217</v>
      </c>
      <c r="C222">
        <f t="shared" si="11"/>
        <v>117</v>
      </c>
      <c r="D222">
        <f t="shared" si="9"/>
        <v>117.00000000034393</v>
      </c>
      <c r="E222" cm="1">
        <f t="array" ref="E222">ApBs($B222,$C$2,E$3)</f>
        <v>117</v>
      </c>
      <c r="F222" cm="1">
        <f t="array" ref="F222">ApBs($B222,$C$2,F$3)</f>
        <v>116.99999999999839</v>
      </c>
      <c r="G222" cm="1">
        <f t="array" ref="G222">ApBs($B222,$C$2,G$3)</f>
        <v>116.99998760079806</v>
      </c>
    </row>
    <row r="223" spans="2:7" x14ac:dyDescent="0.25">
      <c r="B223">
        <f t="shared" si="10"/>
        <v>218</v>
      </c>
      <c r="C223">
        <f t="shared" si="11"/>
        <v>118</v>
      </c>
      <c r="D223">
        <f t="shared" si="9"/>
        <v>118.0000000002816</v>
      </c>
      <c r="E223" cm="1">
        <f t="array" ref="E223">ApBs($B223,$C$2,E$3)</f>
        <v>118</v>
      </c>
      <c r="F223" cm="1">
        <f t="array" ref="F223">ApBs($B223,$C$2,F$3)</f>
        <v>117.99999999999865</v>
      </c>
      <c r="G223" cm="1">
        <f t="array" ref="G223">ApBs($B223,$C$2,G$3)</f>
        <v>117.99998861574029</v>
      </c>
    </row>
    <row r="224" spans="2:7" x14ac:dyDescent="0.25">
      <c r="B224">
        <f t="shared" si="10"/>
        <v>219</v>
      </c>
      <c r="C224">
        <f t="shared" si="11"/>
        <v>119</v>
      </c>
      <c r="D224">
        <f t="shared" si="9"/>
        <v>119.00000000023056</v>
      </c>
      <c r="E224" cm="1">
        <f t="array" ref="E224">ApBs($B224,$C$2,E$3)</f>
        <v>119</v>
      </c>
      <c r="F224" cm="1">
        <f t="array" ref="F224">ApBs($B224,$C$2,F$3)</f>
        <v>118.99999999999888</v>
      </c>
      <c r="G224" cm="1">
        <f t="array" ref="G224">ApBs($B224,$C$2,G$3)</f>
        <v>118.99998954393988</v>
      </c>
    </row>
    <row r="225" spans="2:7" x14ac:dyDescent="0.25">
      <c r="B225">
        <f t="shared" si="10"/>
        <v>220</v>
      </c>
      <c r="C225">
        <f t="shared" si="11"/>
        <v>120</v>
      </c>
      <c r="D225">
        <f t="shared" si="9"/>
        <v>120.00000000018875</v>
      </c>
      <c r="E225" cm="1">
        <f t="array" ref="E225">ApBs($B225,$C$2,E$3)</f>
        <v>120</v>
      </c>
      <c r="F225" cm="1">
        <f t="array" ref="F225">ApBs($B225,$C$2,F$3)</f>
        <v>119.99999999999906</v>
      </c>
      <c r="G225" cm="1">
        <f t="array" ref="G225">ApBs($B225,$C$2,G$3)</f>
        <v>119.99999039311723</v>
      </c>
    </row>
    <row r="226" spans="2:7" x14ac:dyDescent="0.25">
      <c r="B226">
        <f t="shared" si="10"/>
        <v>221</v>
      </c>
      <c r="C226">
        <f t="shared" si="11"/>
        <v>121</v>
      </c>
      <c r="D226">
        <f t="shared" si="9"/>
        <v>121.00000000015454</v>
      </c>
      <c r="E226" cm="1">
        <f t="array" ref="E226">ApBs($B226,$C$2,E$3)</f>
        <v>121</v>
      </c>
      <c r="F226" cm="1">
        <f t="array" ref="F226">ApBs($B226,$C$2,F$3)</f>
        <v>120.9999999999992</v>
      </c>
      <c r="G226" cm="1">
        <f t="array" ref="G226">ApBs($B226,$C$2,G$3)</f>
        <v>120.999991170279</v>
      </c>
    </row>
    <row r="227" spans="2:7" x14ac:dyDescent="0.25">
      <c r="B227">
        <f t="shared" si="10"/>
        <v>222</v>
      </c>
      <c r="C227">
        <f t="shared" si="11"/>
        <v>122</v>
      </c>
      <c r="D227">
        <f t="shared" si="9"/>
        <v>122.00000000012652</v>
      </c>
      <c r="E227" cm="1">
        <f t="array" ref="E227">ApBs($B227,$C$2,E$3)</f>
        <v>122</v>
      </c>
      <c r="F227" cm="1">
        <f t="array" ref="F227">ApBs($B227,$C$2,F$3)</f>
        <v>121.99999999999935</v>
      </c>
      <c r="G227" cm="1">
        <f t="array" ref="G227">ApBs($B227,$C$2,G$3)</f>
        <v>121.99999188178629</v>
      </c>
    </row>
    <row r="228" spans="2:7" x14ac:dyDescent="0.25">
      <c r="B228">
        <f t="shared" si="10"/>
        <v>223</v>
      </c>
      <c r="C228">
        <f t="shared" si="11"/>
        <v>123</v>
      </c>
      <c r="D228">
        <f t="shared" si="9"/>
        <v>123.0000000001036</v>
      </c>
      <c r="E228" cm="1">
        <f t="array" ref="E228">ApBs($B228,$C$2,E$3)</f>
        <v>123</v>
      </c>
      <c r="F228" cm="1">
        <f t="array" ref="F228">ApBs($B228,$C$2,F$3)</f>
        <v>122.99999999999945</v>
      </c>
      <c r="G228" cm="1">
        <f t="array" ref="G228">ApBs($B228,$C$2,G$3)</f>
        <v>122.99999253341637</v>
      </c>
    </row>
    <row r="229" spans="2:7" x14ac:dyDescent="0.25">
      <c r="B229">
        <f t="shared" si="10"/>
        <v>224</v>
      </c>
      <c r="C229">
        <f t="shared" si="11"/>
        <v>124</v>
      </c>
      <c r="D229">
        <f t="shared" si="9"/>
        <v>124.00000000008482</v>
      </c>
      <c r="E229" cm="1">
        <f t="array" ref="E229">ApBs($B229,$C$2,E$3)</f>
        <v>124</v>
      </c>
      <c r="F229" cm="1">
        <f t="array" ref="F229">ApBs($B229,$C$2,F$3)</f>
        <v>123.99999999999953</v>
      </c>
      <c r="G229" cm="1">
        <f t="array" ref="G229">ApBs($B229,$C$2,G$3)</f>
        <v>123.9999931304183</v>
      </c>
    </row>
    <row r="230" spans="2:7" x14ac:dyDescent="0.25">
      <c r="B230">
        <f t="shared" si="10"/>
        <v>225</v>
      </c>
      <c r="C230">
        <f t="shared" si="11"/>
        <v>125</v>
      </c>
      <c r="D230">
        <f t="shared" si="9"/>
        <v>125.00000000006943</v>
      </c>
      <c r="E230" cm="1">
        <f t="array" ref="E230">ApBs($B230,$C$2,E$3)</f>
        <v>125</v>
      </c>
      <c r="F230" cm="1">
        <f t="array" ref="F230">ApBs($B230,$C$2,F$3)</f>
        <v>124.9999999999996</v>
      </c>
      <c r="G230" cm="1">
        <f t="array" ref="G230">ApBs($B230,$C$2,G$3)</f>
        <v>124.99999367756294</v>
      </c>
    </row>
    <row r="231" spans="2:7" x14ac:dyDescent="0.25">
      <c r="B231">
        <f t="shared" si="10"/>
        <v>226</v>
      </c>
      <c r="C231">
        <f t="shared" si="11"/>
        <v>126</v>
      </c>
      <c r="D231">
        <f t="shared" si="9"/>
        <v>126.00000000005684</v>
      </c>
      <c r="E231" cm="1">
        <f t="array" ref="E231">ApBs($B231,$C$2,E$3)</f>
        <v>126</v>
      </c>
      <c r="F231" cm="1">
        <f t="array" ref="F231">ApBs($B231,$C$2,F$3)</f>
        <v>125.99999999999967</v>
      </c>
      <c r="G231" cm="1">
        <f t="array" ref="G231">ApBs($B231,$C$2,G$3)</f>
        <v>125.99999417918809</v>
      </c>
    </row>
    <row r="232" spans="2:7" x14ac:dyDescent="0.25">
      <c r="B232">
        <f t="shared" si="10"/>
        <v>227</v>
      </c>
      <c r="C232">
        <f t="shared" si="11"/>
        <v>127</v>
      </c>
      <c r="D232">
        <f t="shared" si="9"/>
        <v>127.00000000004653</v>
      </c>
      <c r="E232" cm="1">
        <f t="array" ref="E232">ApBs($B232,$C$2,E$3)</f>
        <v>127</v>
      </c>
      <c r="F232" cm="1">
        <f t="array" ref="F232">ApBs($B232,$C$2,F$3)</f>
        <v>126.99999999999973</v>
      </c>
      <c r="G232" cm="1">
        <f t="array" ref="G232">ApBs($B232,$C$2,G$3)</f>
        <v>126.9999946392393</v>
      </c>
    </row>
    <row r="233" spans="2:7" x14ac:dyDescent="0.25">
      <c r="B233">
        <f t="shared" si="10"/>
        <v>228</v>
      </c>
      <c r="C233">
        <f t="shared" si="11"/>
        <v>128</v>
      </c>
      <c r="D233">
        <f t="shared" si="9"/>
        <v>128.00000000003811</v>
      </c>
      <c r="E233" cm="1">
        <f t="array" ref="E233">ApBs($B233,$C$2,E$3)</f>
        <v>128</v>
      </c>
      <c r="F233" cm="1">
        <f t="array" ref="F233">ApBs($B233,$C$2,F$3)</f>
        <v>127.99999999999976</v>
      </c>
      <c r="G233" cm="1">
        <f t="array" ref="G233">ApBs($B233,$C$2,G$3)</f>
        <v>127.99999506130673</v>
      </c>
    </row>
    <row r="234" spans="2:7" x14ac:dyDescent="0.25">
      <c r="B234">
        <f t="shared" si="10"/>
        <v>229</v>
      </c>
      <c r="C234">
        <f t="shared" si="11"/>
        <v>129</v>
      </c>
      <c r="D234">
        <f t="shared" si="9"/>
        <v>129.00000000003121</v>
      </c>
      <c r="E234" cm="1">
        <f t="array" ref="E234">ApBs($B234,$C$2,E$3)</f>
        <v>129</v>
      </c>
      <c r="F234" cm="1">
        <f t="array" ref="F234">ApBs($B234,$C$2,F$3)</f>
        <v>128.9999999999998</v>
      </c>
      <c r="G234" cm="1">
        <f t="array" ref="G234">ApBs($B234,$C$2,G$3)</f>
        <v>128.99999544865813</v>
      </c>
    </row>
    <row r="235" spans="2:7" x14ac:dyDescent="0.25">
      <c r="B235">
        <f t="shared" si="10"/>
        <v>230</v>
      </c>
      <c r="C235">
        <f t="shared" si="11"/>
        <v>130</v>
      </c>
      <c r="D235">
        <f t="shared" si="9"/>
        <v>130.00000000002555</v>
      </c>
      <c r="E235" cm="1">
        <f t="array" ref="E235">ApBs($B235,$C$2,E$3)</f>
        <v>130</v>
      </c>
      <c r="F235" cm="1">
        <f t="array" ref="F235">ApBs($B235,$C$2,F$3)</f>
        <v>129.99999999999983</v>
      </c>
      <c r="G235" cm="1">
        <f t="array" ref="G235">ApBs($B235,$C$2,G$3)</f>
        <v>129.9999958042691</v>
      </c>
    </row>
    <row r="236" spans="2:7" x14ac:dyDescent="0.25">
      <c r="B236">
        <f t="shared" si="10"/>
        <v>231</v>
      </c>
      <c r="C236">
        <f t="shared" si="11"/>
        <v>131</v>
      </c>
      <c r="D236">
        <f t="shared" si="9"/>
        <v>131.00000000002092</v>
      </c>
      <c r="E236" cm="1">
        <f t="array" ref="E236">ApBs($B236,$C$2,E$3)</f>
        <v>131</v>
      </c>
      <c r="F236" cm="1">
        <f t="array" ref="F236">ApBs($B236,$C$2,F$3)</f>
        <v>130.99999999999986</v>
      </c>
      <c r="G236" cm="1">
        <f t="array" ref="G236">ApBs($B236,$C$2,G$3)</f>
        <v>130.99999613085006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16D65-0949-41DB-B867-0DEE4E0D2DD2}">
  <sheetPr codeName="Sheet2"/>
  <dimension ref="I3:L146"/>
  <sheetViews>
    <sheetView workbookViewId="0">
      <selection activeCell="J13" sqref="J13"/>
    </sheetView>
  </sheetViews>
  <sheetFormatPr defaultRowHeight="15" x14ac:dyDescent="0.25"/>
  <cols>
    <col min="4" max="4" width="12" bestFit="1" customWidth="1"/>
    <col min="5" max="6" width="11.140625" customWidth="1"/>
    <col min="7" max="7" width="13.7109375" customWidth="1"/>
    <col min="11" max="12" width="12" bestFit="1" customWidth="1"/>
  </cols>
  <sheetData>
    <row r="3" spans="9:12" x14ac:dyDescent="0.25">
      <c r="J3" t="s">
        <v>6</v>
      </c>
    </row>
    <row r="4" spans="9:12" x14ac:dyDescent="0.25">
      <c r="J4">
        <v>0.58789246818014262</v>
      </c>
      <c r="L4">
        <f>10000*SQRT(SUMSQ(L6:L146)/COUNT(L6:L146))</f>
        <v>47.191200999753747</v>
      </c>
    </row>
    <row r="5" spans="9:12" x14ac:dyDescent="0.25">
      <c r="I5" t="s">
        <v>0</v>
      </c>
      <c r="J5" t="s">
        <v>4</v>
      </c>
      <c r="K5" t="s">
        <v>5</v>
      </c>
      <c r="L5" t="s">
        <v>7</v>
      </c>
    </row>
    <row r="6" spans="9:12" x14ac:dyDescent="0.25">
      <c r="I6">
        <v>-7</v>
      </c>
      <c r="J6">
        <f t="shared" ref="J6:J69" si="0">1/(1+EXP(-I6/$J$4))</f>
        <v>6.7434010299622429E-6</v>
      </c>
      <c r="K6">
        <f>NORMSDIST(I6)</f>
        <v>1.2798125438858352E-12</v>
      </c>
      <c r="L6">
        <f>J6-K6</f>
        <v>6.7433997501496993E-6</v>
      </c>
    </row>
    <row r="7" spans="9:12" x14ac:dyDescent="0.25">
      <c r="I7">
        <f t="shared" ref="I7:I70" si="1">I6+0.1</f>
        <v>-6.9</v>
      </c>
      <c r="J7">
        <f t="shared" si="0"/>
        <v>7.9937683797051992E-6</v>
      </c>
      <c r="K7">
        <f t="shared" ref="K7:K70" si="2">NORMSDIST(I7)</f>
        <v>2.600126965638173E-12</v>
      </c>
      <c r="L7">
        <f t="shared" ref="L7:L70" si="3">J7-K7</f>
        <v>7.9937657795782339E-6</v>
      </c>
    </row>
    <row r="8" spans="9:12" x14ac:dyDescent="0.25">
      <c r="I8">
        <f t="shared" si="1"/>
        <v>-6.8000000000000007</v>
      </c>
      <c r="J8">
        <f t="shared" si="0"/>
        <v>9.475977746160184E-6</v>
      </c>
      <c r="K8">
        <f t="shared" si="2"/>
        <v>5.2309575441445245E-12</v>
      </c>
      <c r="L8">
        <f t="shared" si="3"/>
        <v>9.4759725152026407E-6</v>
      </c>
    </row>
    <row r="9" spans="9:12" x14ac:dyDescent="0.25">
      <c r="I9">
        <f t="shared" si="1"/>
        <v>-6.7000000000000011</v>
      </c>
      <c r="J9">
        <f t="shared" si="0"/>
        <v>1.1233016182353137E-5</v>
      </c>
      <c r="K9">
        <f t="shared" si="2"/>
        <v>1.0420976987965078E-11</v>
      </c>
      <c r="L9">
        <f t="shared" si="3"/>
        <v>1.1233005761376149E-5</v>
      </c>
    </row>
    <row r="10" spans="9:12" x14ac:dyDescent="0.25">
      <c r="I10">
        <f t="shared" si="1"/>
        <v>-6.6000000000000014</v>
      </c>
      <c r="J10">
        <f t="shared" si="0"/>
        <v>1.3315840837141774E-5</v>
      </c>
      <c r="K10">
        <f t="shared" si="2"/>
        <v>2.0557889093994925E-11</v>
      </c>
      <c r="L10">
        <f t="shared" si="3"/>
        <v>1.331582027925268E-5</v>
      </c>
    </row>
    <row r="11" spans="9:12" x14ac:dyDescent="0.25">
      <c r="I11">
        <f t="shared" si="1"/>
        <v>-6.5000000000000018</v>
      </c>
      <c r="J11">
        <f t="shared" si="0"/>
        <v>1.5784856519717863E-5</v>
      </c>
      <c r="K11">
        <f t="shared" si="2"/>
        <v>4.016000583859059E-11</v>
      </c>
      <c r="L11">
        <f t="shared" si="3"/>
        <v>1.5784816359712025E-5</v>
      </c>
    </row>
    <row r="12" spans="9:12" x14ac:dyDescent="0.25">
      <c r="I12">
        <f t="shared" si="1"/>
        <v>-6.4000000000000021</v>
      </c>
      <c r="J12">
        <f t="shared" si="0"/>
        <v>1.8711667128412467E-5</v>
      </c>
      <c r="K12">
        <f t="shared" si="2"/>
        <v>7.7688475817097123E-11</v>
      </c>
      <c r="L12">
        <f t="shared" si="3"/>
        <v>1.871158943993665E-5</v>
      </c>
    </row>
    <row r="13" spans="9:12" x14ac:dyDescent="0.25">
      <c r="I13">
        <f t="shared" si="1"/>
        <v>-6.3000000000000025</v>
      </c>
      <c r="J13">
        <f t="shared" si="0"/>
        <v>2.2181151680125528E-5</v>
      </c>
      <c r="K13">
        <f t="shared" si="2"/>
        <v>1.4882282217622853E-10</v>
      </c>
      <c r="L13">
        <f t="shared" si="3"/>
        <v>2.2181002857303353E-5</v>
      </c>
    </row>
    <row r="14" spans="9:12" x14ac:dyDescent="0.25">
      <c r="I14">
        <f t="shared" si="1"/>
        <v>-6.2000000000000028</v>
      </c>
      <c r="J14">
        <f t="shared" si="0"/>
        <v>2.6293925066423749E-5</v>
      </c>
      <c r="K14">
        <f t="shared" si="2"/>
        <v>2.8231580370432248E-10</v>
      </c>
      <c r="L14">
        <f t="shared" si="3"/>
        <v>2.6293642750620045E-5</v>
      </c>
    </row>
    <row r="15" spans="9:12" x14ac:dyDescent="0.25">
      <c r="I15">
        <f t="shared" si="1"/>
        <v>-6.1000000000000032</v>
      </c>
      <c r="J15">
        <f t="shared" si="0"/>
        <v>3.1169254785877718E-5</v>
      </c>
      <c r="K15">
        <f t="shared" si="2"/>
        <v>5.3034232629487305E-10</v>
      </c>
      <c r="L15">
        <f t="shared" si="3"/>
        <v>3.1168724443551423E-5</v>
      </c>
    </row>
    <row r="16" spans="9:12" x14ac:dyDescent="0.25">
      <c r="I16">
        <f t="shared" si="1"/>
        <v>-6.0000000000000036</v>
      </c>
      <c r="J16">
        <f t="shared" si="0"/>
        <v>3.694851807808076E-5</v>
      </c>
      <c r="K16">
        <f t="shared" si="2"/>
        <v>9.8658764503766935E-10</v>
      </c>
      <c r="L16">
        <f t="shared" si="3"/>
        <v>3.6947531490435725E-5</v>
      </c>
    </row>
    <row r="17" spans="9:12" x14ac:dyDescent="0.25">
      <c r="I17">
        <f t="shared" si="1"/>
        <v>-5.9000000000000039</v>
      </c>
      <c r="J17">
        <f t="shared" si="0"/>
        <v>4.3799299489433882E-5</v>
      </c>
      <c r="K17">
        <f t="shared" si="2"/>
        <v>1.817507863099384E-9</v>
      </c>
      <c r="L17">
        <f t="shared" si="3"/>
        <v>4.3797481981570785E-5</v>
      </c>
    </row>
    <row r="18" spans="9:12" x14ac:dyDescent="0.25">
      <c r="I18">
        <f t="shared" si="1"/>
        <v>-5.8000000000000043</v>
      </c>
      <c r="J18">
        <f t="shared" si="0"/>
        <v>5.1920247378729844E-5</v>
      </c>
      <c r="K18">
        <f t="shared" si="2"/>
        <v>3.3157459783260645E-9</v>
      </c>
      <c r="L18">
        <f t="shared" si="3"/>
        <v>5.1916931632751517E-5</v>
      </c>
    </row>
    <row r="19" spans="9:12" x14ac:dyDescent="0.25">
      <c r="I19">
        <f t="shared" si="1"/>
        <v>-5.7000000000000046</v>
      </c>
      <c r="J19">
        <f t="shared" si="0"/>
        <v>6.1546829746449226E-5</v>
      </c>
      <c r="K19">
        <f t="shared" si="2"/>
        <v>5.9903714010633526E-9</v>
      </c>
      <c r="L19">
        <f t="shared" si="3"/>
        <v>6.1540839375048156E-5</v>
      </c>
    </row>
    <row r="20" spans="9:12" x14ac:dyDescent="0.25">
      <c r="I20">
        <f t="shared" si="1"/>
        <v>-5.600000000000005</v>
      </c>
      <c r="J20">
        <f t="shared" si="0"/>
        <v>7.2958155664094924E-5</v>
      </c>
      <c r="K20">
        <f t="shared" si="2"/>
        <v>1.0717590258310579E-8</v>
      </c>
      <c r="L20">
        <f t="shared" si="3"/>
        <v>7.294743807383661E-5</v>
      </c>
    </row>
    <row r="21" spans="9:12" x14ac:dyDescent="0.25">
      <c r="I21">
        <f t="shared" si="1"/>
        <v>-5.5000000000000053</v>
      </c>
      <c r="J21">
        <f t="shared" si="0"/>
        <v>8.6485059217492952E-5</v>
      </c>
      <c r="K21">
        <f t="shared" si="2"/>
        <v>1.8989562465887129E-8</v>
      </c>
      <c r="L21">
        <f t="shared" si="3"/>
        <v>8.6466069655027062E-5</v>
      </c>
    </row>
    <row r="22" spans="9:12" x14ac:dyDescent="0.25">
      <c r="I22">
        <f t="shared" si="1"/>
        <v>-5.4000000000000057</v>
      </c>
      <c r="J22">
        <f t="shared" si="0"/>
        <v>1.0251967911806633E-4</v>
      </c>
      <c r="K22">
        <f t="shared" si="2"/>
        <v>3.3320448485427409E-8</v>
      </c>
      <c r="L22">
        <f t="shared" si="3"/>
        <v>1.024863586695809E-4</v>
      </c>
    </row>
    <row r="23" spans="9:12" x14ac:dyDescent="0.25">
      <c r="I23">
        <f t="shared" si="1"/>
        <v>-5.300000000000006</v>
      </c>
      <c r="J23">
        <f t="shared" si="0"/>
        <v>1.215268099857188E-4</v>
      </c>
      <c r="K23">
        <f t="shared" si="2"/>
        <v>5.7901340399643868E-8</v>
      </c>
      <c r="L23">
        <f t="shared" si="3"/>
        <v>1.2146890864531915E-4</v>
      </c>
    </row>
    <row r="24" spans="9:12" x14ac:dyDescent="0.25">
      <c r="I24">
        <f t="shared" si="1"/>
        <v>-5.2000000000000064</v>
      </c>
      <c r="J24">
        <f t="shared" si="0"/>
        <v>1.4405735194716711E-4</v>
      </c>
      <c r="K24">
        <f t="shared" si="2"/>
        <v>9.9644263169331167E-8</v>
      </c>
      <c r="L24">
        <f t="shared" si="3"/>
        <v>1.4395770768399778E-4</v>
      </c>
    </row>
    <row r="25" spans="9:12" x14ac:dyDescent="0.25">
      <c r="I25">
        <f t="shared" si="1"/>
        <v>-5.1000000000000068</v>
      </c>
      <c r="J25">
        <f t="shared" si="0"/>
        <v>1.7076424500633408E-4</v>
      </c>
      <c r="K25">
        <f t="shared" si="2"/>
        <v>1.6982674071475378E-7</v>
      </c>
      <c r="L25">
        <f t="shared" si="3"/>
        <v>1.7059441826561931E-4</v>
      </c>
    </row>
    <row r="26" spans="9:12" x14ac:dyDescent="0.25">
      <c r="I26">
        <f t="shared" si="1"/>
        <v>-5.0000000000000071</v>
      </c>
      <c r="J26">
        <f t="shared" si="0"/>
        <v>2.0242134524175119E-4</v>
      </c>
      <c r="K26">
        <f t="shared" si="2"/>
        <v>2.8665157187918232E-7</v>
      </c>
      <c r="L26">
        <f t="shared" si="3"/>
        <v>2.02134693669872E-4</v>
      </c>
    </row>
    <row r="27" spans="9:12" x14ac:dyDescent="0.25">
      <c r="I27">
        <f t="shared" si="1"/>
        <v>-4.9000000000000075</v>
      </c>
      <c r="J27">
        <f t="shared" si="0"/>
        <v>2.3994578314650054E-4</v>
      </c>
      <c r="K27">
        <f t="shared" si="2"/>
        <v>4.7918327659030076E-7</v>
      </c>
      <c r="L27">
        <f t="shared" si="3"/>
        <v>2.3946659986991023E-4</v>
      </c>
    </row>
    <row r="28" spans="9:12" x14ac:dyDescent="0.25">
      <c r="I28">
        <f t="shared" si="1"/>
        <v>-4.8000000000000078</v>
      </c>
      <c r="J28">
        <f t="shared" si="0"/>
        <v>2.8442444252405952E-4</v>
      </c>
      <c r="K28">
        <f t="shared" si="2"/>
        <v>7.9332815197556293E-7</v>
      </c>
      <c r="L28">
        <f t="shared" si="3"/>
        <v>2.8363111437208397E-4</v>
      </c>
    </row>
    <row r="29" spans="9:12" x14ac:dyDescent="0.25">
      <c r="I29">
        <f t="shared" si="1"/>
        <v>-4.7000000000000082</v>
      </c>
      <c r="J29">
        <f t="shared" si="0"/>
        <v>3.3714531379713315E-4</v>
      </c>
      <c r="K29">
        <f t="shared" si="2"/>
        <v>1.3008074539172295E-6</v>
      </c>
      <c r="L29">
        <f t="shared" si="3"/>
        <v>3.3584450634321591E-4</v>
      </c>
    </row>
    <row r="30" spans="9:12" x14ac:dyDescent="0.25">
      <c r="I30">
        <f t="shared" si="1"/>
        <v>-4.6000000000000085</v>
      </c>
      <c r="J30">
        <f t="shared" si="0"/>
        <v>3.9963461125257086E-4</v>
      </c>
      <c r="K30">
        <f t="shared" si="2"/>
        <v>2.1124547025027555E-6</v>
      </c>
      <c r="L30">
        <f t="shared" si="3"/>
        <v>3.9752215655006808E-4</v>
      </c>
    </row>
    <row r="31" spans="9:12" x14ac:dyDescent="0.25">
      <c r="I31">
        <f t="shared" si="1"/>
        <v>-4.5000000000000089</v>
      </c>
      <c r="J31">
        <f t="shared" si="0"/>
        <v>4.737007029068302E-4</v>
      </c>
      <c r="K31">
        <f t="shared" si="2"/>
        <v>3.3976731247299095E-6</v>
      </c>
      <c r="L31">
        <f t="shared" si="3"/>
        <v>4.7030302978210027E-4</v>
      </c>
    </row>
    <row r="32" spans="9:12" x14ac:dyDescent="0.25">
      <c r="I32">
        <f t="shared" si="1"/>
        <v>-4.4000000000000092</v>
      </c>
      <c r="J32">
        <f t="shared" si="0"/>
        <v>5.6148608802224817E-4</v>
      </c>
      <c r="K32">
        <f t="shared" si="2"/>
        <v>5.4125439077036197E-6</v>
      </c>
      <c r="L32">
        <f t="shared" si="3"/>
        <v>5.5607354411454457E-4</v>
      </c>
    </row>
    <row r="33" spans="9:12" x14ac:dyDescent="0.25">
      <c r="I33">
        <f t="shared" si="1"/>
        <v>-4.3000000000000096</v>
      </c>
      <c r="J33">
        <f t="shared" si="0"/>
        <v>6.6552887494054143E-4</v>
      </c>
      <c r="K33">
        <f t="shared" si="2"/>
        <v>8.5399054709914283E-6</v>
      </c>
      <c r="L33">
        <f t="shared" si="3"/>
        <v>6.5698896946955005E-4</v>
      </c>
    </row>
    <row r="34" spans="9:12" x14ac:dyDescent="0.25">
      <c r="I34">
        <f t="shared" si="1"/>
        <v>-4.2000000000000099</v>
      </c>
      <c r="J34">
        <f t="shared" si="0"/>
        <v>7.8883546532072378E-4</v>
      </c>
      <c r="K34">
        <f t="shared" si="2"/>
        <v>1.3345749015905763E-5</v>
      </c>
      <c r="L34">
        <f t="shared" si="3"/>
        <v>7.7548971630481806E-4</v>
      </c>
    </row>
    <row r="35" spans="9:12" x14ac:dyDescent="0.25">
      <c r="I35">
        <f t="shared" si="1"/>
        <v>-4.1000000000000103</v>
      </c>
      <c r="J35">
        <f t="shared" si="0"/>
        <v>9.3496644488120118E-4</v>
      </c>
      <c r="K35">
        <f t="shared" si="2"/>
        <v>2.0657506912545789E-5</v>
      </c>
      <c r="L35">
        <f t="shared" si="3"/>
        <v>9.143089379686554E-4</v>
      </c>
    </row>
    <row r="36" spans="9:12" x14ac:dyDescent="0.25">
      <c r="I36">
        <f t="shared" si="1"/>
        <v>-4.0000000000000107</v>
      </c>
      <c r="J36">
        <f t="shared" si="0"/>
        <v>1.1081380203235808E-3</v>
      </c>
      <c r="K36">
        <f t="shared" si="2"/>
        <v>3.167124183311844E-5</v>
      </c>
      <c r="L36">
        <f t="shared" si="3"/>
        <v>1.0764667784904623E-3</v>
      </c>
    </row>
    <row r="37" spans="9:12" x14ac:dyDescent="0.25">
      <c r="I37">
        <f t="shared" si="1"/>
        <v>-3.9000000000000106</v>
      </c>
      <c r="J37">
        <f t="shared" si="0"/>
        <v>1.3133417321458348E-3</v>
      </c>
      <c r="K37">
        <f t="shared" si="2"/>
        <v>4.8096344017600521E-5</v>
      </c>
      <c r="L37">
        <f t="shared" si="3"/>
        <v>1.2652453881282343E-3</v>
      </c>
    </row>
    <row r="38" spans="9:12" x14ac:dyDescent="0.25">
      <c r="I38">
        <f t="shared" si="1"/>
        <v>-3.8000000000000105</v>
      </c>
      <c r="J38">
        <f t="shared" si="0"/>
        <v>1.5564856179282377E-3</v>
      </c>
      <c r="K38">
        <f t="shared" si="2"/>
        <v>7.2348043925116832E-5</v>
      </c>
      <c r="L38">
        <f t="shared" si="3"/>
        <v>1.4841375740031208E-3</v>
      </c>
    </row>
    <row r="39" spans="9:12" x14ac:dyDescent="0.25">
      <c r="I39">
        <f t="shared" si="1"/>
        <v>-3.7000000000000104</v>
      </c>
      <c r="J39">
        <f t="shared" si="0"/>
        <v>1.8445605036659929E-3</v>
      </c>
      <c r="K39">
        <f t="shared" si="2"/>
        <v>1.0779973347738368E-4</v>
      </c>
      <c r="L39">
        <f t="shared" si="3"/>
        <v>1.7367607701886092E-3</v>
      </c>
    </row>
    <row r="40" spans="9:12" x14ac:dyDescent="0.25">
      <c r="I40">
        <f t="shared" si="1"/>
        <v>-3.6000000000000103</v>
      </c>
      <c r="J40">
        <f t="shared" si="0"/>
        <v>2.1858356630256202E-3</v>
      </c>
      <c r="K40">
        <f t="shared" si="2"/>
        <v>1.5910859015752743E-4</v>
      </c>
      <c r="L40">
        <f t="shared" si="3"/>
        <v>2.0267270728680929E-3</v>
      </c>
    </row>
    <row r="41" spans="9:12" x14ac:dyDescent="0.25">
      <c r="I41">
        <f t="shared" si="1"/>
        <v>-3.5000000000000102</v>
      </c>
      <c r="J41">
        <f t="shared" si="0"/>
        <v>2.5900887037533732E-3</v>
      </c>
      <c r="K41">
        <f t="shared" si="2"/>
        <v>2.3262907903551577E-4</v>
      </c>
      <c r="L41">
        <f t="shared" si="3"/>
        <v>2.3574596247178574E-3</v>
      </c>
    </row>
    <row r="42" spans="9:12" x14ac:dyDescent="0.25">
      <c r="I42">
        <f t="shared" si="1"/>
        <v>-3.4000000000000101</v>
      </c>
      <c r="J42">
        <f t="shared" si="0"/>
        <v>3.0688752091292282E-3</v>
      </c>
      <c r="K42">
        <f t="shared" si="2"/>
        <v>3.3692926567686834E-4</v>
      </c>
      <c r="L42">
        <f t="shared" si="3"/>
        <v>2.73194594345236E-3</v>
      </c>
    </row>
    <row r="43" spans="9:12" x14ac:dyDescent="0.25">
      <c r="I43">
        <f t="shared" si="1"/>
        <v>-3.30000000000001</v>
      </c>
      <c r="J43">
        <f t="shared" si="0"/>
        <v>3.6358443642866296E-3</v>
      </c>
      <c r="K43">
        <f t="shared" si="2"/>
        <v>4.834241423837595E-4</v>
      </c>
      <c r="L43">
        <f t="shared" si="3"/>
        <v>3.1524202219028702E-3</v>
      </c>
    </row>
    <row r="44" spans="9:12" x14ac:dyDescent="0.25">
      <c r="I44">
        <f t="shared" si="1"/>
        <v>-3.2000000000000099</v>
      </c>
      <c r="J44">
        <f t="shared" si="0"/>
        <v>4.3071075040486996E-3</v>
      </c>
      <c r="K44">
        <f t="shared" si="2"/>
        <v>6.8713793791582453E-4</v>
      </c>
      <c r="L44">
        <f t="shared" si="3"/>
        <v>3.6199695661328752E-3</v>
      </c>
    </row>
    <row r="45" spans="9:12" x14ac:dyDescent="0.25">
      <c r="I45">
        <f t="shared" si="1"/>
        <v>-3.1000000000000099</v>
      </c>
      <c r="J45">
        <f t="shared" si="0"/>
        <v>5.1016671845089748E-3</v>
      </c>
      <c r="K45">
        <f t="shared" si="2"/>
        <v>9.6760321321832314E-4</v>
      </c>
      <c r="L45">
        <f t="shared" si="3"/>
        <v>4.1340639712906515E-3</v>
      </c>
    </row>
    <row r="46" spans="9:12" x14ac:dyDescent="0.25">
      <c r="I46">
        <f t="shared" si="1"/>
        <v>-3.0000000000000098</v>
      </c>
      <c r="J46">
        <f t="shared" si="0"/>
        <v>6.0419149334948082E-3</v>
      </c>
      <c r="K46">
        <f t="shared" si="2"/>
        <v>1.349898031630051E-3</v>
      </c>
      <c r="L46">
        <f t="shared" si="3"/>
        <v>4.6920169018647567E-3</v>
      </c>
    </row>
    <row r="47" spans="9:12" x14ac:dyDescent="0.25">
      <c r="I47">
        <f t="shared" si="1"/>
        <v>-2.9000000000000097</v>
      </c>
      <c r="J47">
        <f t="shared" si="0"/>
        <v>7.1542061686763487E-3</v>
      </c>
      <c r="K47">
        <f t="shared" si="2"/>
        <v>1.8658133003839773E-3</v>
      </c>
      <c r="L47">
        <f t="shared" si="3"/>
        <v>5.2883928682923714E-3</v>
      </c>
    </row>
    <row r="48" spans="9:12" x14ac:dyDescent="0.25">
      <c r="I48">
        <f t="shared" si="1"/>
        <v>-2.8000000000000096</v>
      </c>
      <c r="J48">
        <f t="shared" si="0"/>
        <v>8.4695207316049636E-3</v>
      </c>
      <c r="K48">
        <f t="shared" si="2"/>
        <v>2.5551303304278549E-3</v>
      </c>
      <c r="L48">
        <f t="shared" si="3"/>
        <v>5.9143904011771092E-3</v>
      </c>
    </row>
    <row r="49" spans="9:12" x14ac:dyDescent="0.25">
      <c r="I49">
        <f t="shared" si="1"/>
        <v>-2.7000000000000095</v>
      </c>
      <c r="J49">
        <f t="shared" si="0"/>
        <v>1.0024216851813105E-2</v>
      </c>
      <c r="K49">
        <f t="shared" si="2"/>
        <v>3.4669738030405684E-3</v>
      </c>
      <c r="L49">
        <f t="shared" si="3"/>
        <v>6.5572430487725372E-3</v>
      </c>
    </row>
    <row r="50" spans="9:12" x14ac:dyDescent="0.25">
      <c r="I50">
        <f t="shared" si="1"/>
        <v>-2.6000000000000094</v>
      </c>
      <c r="J50">
        <f t="shared" si="0"/>
        <v>1.1860884822590479E-2</v>
      </c>
      <c r="K50">
        <f t="shared" si="2"/>
        <v>4.6611880237186184E-3</v>
      </c>
      <c r="L50">
        <f t="shared" si="3"/>
        <v>7.1996967988718604E-3</v>
      </c>
    </row>
    <row r="51" spans="9:12" x14ac:dyDescent="0.25">
      <c r="I51">
        <f t="shared" si="1"/>
        <v>-2.5000000000000093</v>
      </c>
      <c r="J51">
        <f t="shared" si="0"/>
        <v>1.4029303825447949E-2</v>
      </c>
      <c r="K51">
        <f t="shared" si="2"/>
        <v>6.2096653257759675E-3</v>
      </c>
      <c r="L51">
        <f t="shared" si="3"/>
        <v>7.8196384996719812E-3</v>
      </c>
    </row>
    <row r="52" spans="9:12" x14ac:dyDescent="0.25">
      <c r="I52">
        <f t="shared" si="1"/>
        <v>-2.4000000000000092</v>
      </c>
      <c r="J52">
        <f t="shared" si="0"/>
        <v>1.6587500634801845E-2</v>
      </c>
      <c r="K52">
        <f t="shared" si="2"/>
        <v>8.1975359245959195E-3</v>
      </c>
      <c r="L52">
        <f t="shared" si="3"/>
        <v>8.3899647102059251E-3</v>
      </c>
    </row>
    <row r="53" spans="9:12" x14ac:dyDescent="0.25">
      <c r="I53">
        <f t="shared" si="1"/>
        <v>-2.3000000000000091</v>
      </c>
      <c r="J53">
        <f t="shared" si="0"/>
        <v>1.9602901659411698E-2</v>
      </c>
      <c r="K53">
        <f t="shared" si="2"/>
        <v>1.0724110021675542E-2</v>
      </c>
      <c r="L53">
        <f t="shared" si="3"/>
        <v>8.878791637736156E-3</v>
      </c>
    </row>
    <row r="54" spans="9:12" x14ac:dyDescent="0.25">
      <c r="I54">
        <f t="shared" si="1"/>
        <v>-2.2000000000000091</v>
      </c>
      <c r="J54">
        <f t="shared" si="0"/>
        <v>2.3153559047234051E-2</v>
      </c>
      <c r="K54">
        <f t="shared" si="2"/>
        <v>1.3903447513498283E-2</v>
      </c>
      <c r="L54">
        <f t="shared" si="3"/>
        <v>9.2501115337357675E-3</v>
      </c>
    </row>
    <row r="55" spans="9:12" x14ac:dyDescent="0.25">
      <c r="I55">
        <f t="shared" si="1"/>
        <v>-2.100000000000009</v>
      </c>
      <c r="J55">
        <f t="shared" si="0"/>
        <v>2.732941633654062E-2</v>
      </c>
      <c r="K55">
        <f t="shared" si="2"/>
        <v>1.786442056281615E-2</v>
      </c>
      <c r="L55">
        <f t="shared" si="3"/>
        <v>9.4649957737244703E-3</v>
      </c>
    </row>
    <row r="56" spans="9:12" x14ac:dyDescent="0.25">
      <c r="I56">
        <f t="shared" si="1"/>
        <v>-2.0000000000000089</v>
      </c>
      <c r="J56">
        <f t="shared" si="0"/>
        <v>3.2233558187885196E-2</v>
      </c>
      <c r="K56">
        <f t="shared" si="2"/>
        <v>2.2750131948178726E-2</v>
      </c>
      <c r="L56">
        <f t="shared" si="3"/>
        <v>9.4834262397064696E-3</v>
      </c>
    </row>
    <row r="57" spans="9:12" x14ac:dyDescent="0.25">
      <c r="I57">
        <f t="shared" si="1"/>
        <v>-1.9000000000000088</v>
      </c>
      <c r="J57">
        <f t="shared" si="0"/>
        <v>3.7983360868255121E-2</v>
      </c>
      <c r="K57">
        <f t="shared" si="2"/>
        <v>2.8716559816001224E-2</v>
      </c>
      <c r="L57">
        <f t="shared" si="3"/>
        <v>9.2668010522538972E-3</v>
      </c>
    </row>
    <row r="58" spans="9:12" x14ac:dyDescent="0.25">
      <c r="I58">
        <f t="shared" si="1"/>
        <v>-1.8000000000000087</v>
      </c>
      <c r="J58">
        <f t="shared" si="0"/>
        <v>4.4711424372714935E-2</v>
      </c>
      <c r="K58">
        <f t="shared" si="2"/>
        <v>3.5930319112925109E-2</v>
      </c>
      <c r="L58">
        <f t="shared" si="3"/>
        <v>8.7811052597898259E-3</v>
      </c>
    </row>
    <row r="59" spans="9:12" x14ac:dyDescent="0.25">
      <c r="I59">
        <f t="shared" si="1"/>
        <v>-1.7000000000000086</v>
      </c>
      <c r="J59">
        <f t="shared" si="0"/>
        <v>5.2566122943540163E-2</v>
      </c>
      <c r="K59">
        <f t="shared" si="2"/>
        <v>4.4565462758542243E-2</v>
      </c>
      <c r="L59">
        <f t="shared" si="3"/>
        <v>8.0006601849979195E-3</v>
      </c>
    </row>
    <row r="60" spans="9:12" x14ac:dyDescent="0.25">
      <c r="I60">
        <f t="shared" si="1"/>
        <v>-1.6000000000000085</v>
      </c>
      <c r="J60">
        <f t="shared" si="0"/>
        <v>6.1711559071766717E-2</v>
      </c>
      <c r="K60">
        <f t="shared" si="2"/>
        <v>5.4799291699557023E-2</v>
      </c>
      <c r="L60">
        <f t="shared" si="3"/>
        <v>6.9122673722096933E-3</v>
      </c>
    </row>
    <row r="61" spans="9:12" x14ac:dyDescent="0.25">
      <c r="I61">
        <f t="shared" si="1"/>
        <v>-1.5000000000000084</v>
      </c>
      <c r="J61">
        <f t="shared" si="0"/>
        <v>7.2326649726151854E-2</v>
      </c>
      <c r="K61">
        <f t="shared" si="2"/>
        <v>6.6807201268856947E-2</v>
      </c>
      <c r="L61">
        <f t="shared" si="3"/>
        <v>5.5194484572949065E-3</v>
      </c>
    </row>
    <row r="62" spans="9:12" x14ac:dyDescent="0.25">
      <c r="I62">
        <f t="shared" si="1"/>
        <v>-1.4000000000000083</v>
      </c>
      <c r="J62">
        <f t="shared" si="0"/>
        <v>8.4603018693380272E-2</v>
      </c>
      <c r="K62">
        <f t="shared" si="2"/>
        <v>8.0756659233769776E-2</v>
      </c>
      <c r="L62">
        <f t="shared" si="3"/>
        <v>3.8463594596104961E-3</v>
      </c>
    </row>
    <row r="63" spans="9:12" x14ac:dyDescent="0.25">
      <c r="I63">
        <f t="shared" si="1"/>
        <v>-1.3000000000000083</v>
      </c>
      <c r="J63">
        <f t="shared" si="0"/>
        <v>9.8741326256287579E-2</v>
      </c>
      <c r="K63">
        <f t="shared" si="2"/>
        <v>9.6800484585608887E-2</v>
      </c>
      <c r="L63">
        <f t="shared" si="3"/>
        <v>1.9408416706786918E-3</v>
      </c>
    </row>
    <row r="64" spans="9:12" x14ac:dyDescent="0.25">
      <c r="I64">
        <f t="shared" si="1"/>
        <v>-1.2000000000000082</v>
      </c>
      <c r="J64">
        <f t="shared" si="0"/>
        <v>0.1149456534523898</v>
      </c>
      <c r="K64">
        <f t="shared" si="2"/>
        <v>0.11506967022170667</v>
      </c>
      <c r="L64">
        <f t="shared" si="3"/>
        <v>-1.2401676931686478E-4</v>
      </c>
    </row>
    <row r="65" spans="9:12" x14ac:dyDescent="0.25">
      <c r="I65">
        <f t="shared" si="1"/>
        <v>-1.1000000000000081</v>
      </c>
      <c r="J65">
        <f t="shared" si="0"/>
        <v>0.13341559542095832</v>
      </c>
      <c r="K65">
        <f t="shared" si="2"/>
        <v>0.1356660609463809</v>
      </c>
      <c r="L65">
        <f t="shared" si="3"/>
        <v>-2.2504655254225736E-3</v>
      </c>
    </row>
    <row r="66" spans="9:12" x14ac:dyDescent="0.25">
      <c r="I66">
        <f t="shared" si="1"/>
        <v>-1.000000000000008</v>
      </c>
      <c r="J66">
        <f t="shared" si="0"/>
        <v>0.15433583411239463</v>
      </c>
      <c r="K66">
        <f t="shared" si="2"/>
        <v>0.1586552539314551</v>
      </c>
      <c r="L66">
        <f t="shared" si="3"/>
        <v>-4.3194198190604771E-3</v>
      </c>
    </row>
    <row r="67" spans="9:12" x14ac:dyDescent="0.25">
      <c r="I67">
        <f t="shared" si="1"/>
        <v>-0.90000000000000802</v>
      </c>
      <c r="J67">
        <f t="shared" si="0"/>
        <v>0.17786318228175421</v>
      </c>
      <c r="K67">
        <f t="shared" si="2"/>
        <v>0.18406012534675728</v>
      </c>
      <c r="L67">
        <f t="shared" si="3"/>
        <v>-6.1969430650030688E-3</v>
      </c>
    </row>
    <row r="68" spans="9:12" x14ac:dyDescent="0.25">
      <c r="I68">
        <f t="shared" si="1"/>
        <v>-0.80000000000000804</v>
      </c>
      <c r="J68">
        <f t="shared" si="0"/>
        <v>0.20411143692445169</v>
      </c>
      <c r="K68">
        <f t="shared" si="2"/>
        <v>0.21185539858339431</v>
      </c>
      <c r="L68">
        <f t="shared" si="3"/>
        <v>-7.7439616589426163E-3</v>
      </c>
    </row>
    <row r="69" spans="9:12" x14ac:dyDescent="0.25">
      <c r="I69">
        <f t="shared" si="1"/>
        <v>-0.70000000000000806</v>
      </c>
      <c r="J69">
        <f t="shared" si="0"/>
        <v>0.2331348478952375</v>
      </c>
      <c r="K69">
        <f t="shared" si="2"/>
        <v>0.24196365222307042</v>
      </c>
      <c r="L69">
        <f t="shared" si="3"/>
        <v>-8.8288043278329231E-3</v>
      </c>
    </row>
    <row r="70" spans="9:12" x14ac:dyDescent="0.25">
      <c r="I70">
        <f t="shared" si="1"/>
        <v>-0.60000000000000808</v>
      </c>
      <c r="J70">
        <f t="shared" ref="J70:J133" si="4">1/(1+EXP(-I70/$J$4))</f>
        <v>0.26491155556754137</v>
      </c>
      <c r="K70">
        <f t="shared" si="2"/>
        <v>0.27425311775007088</v>
      </c>
      <c r="L70">
        <f t="shared" si="3"/>
        <v>-9.341562182529517E-3</v>
      </c>
    </row>
    <row r="71" spans="9:12" x14ac:dyDescent="0.25">
      <c r="I71">
        <f t="shared" ref="I71:I134" si="5">I70+0.1</f>
        <v>-0.5000000000000081</v>
      </c>
      <c r="J71">
        <f t="shared" si="4"/>
        <v>0.29932888927487977</v>
      </c>
      <c r="K71">
        <f t="shared" ref="K71:K134" si="6">NORMSDIST(I71)</f>
        <v>0.308537538725984</v>
      </c>
      <c r="L71">
        <f t="shared" ref="L71:L134" si="7">J71-K71</f>
        <v>-9.2086494511042227E-3</v>
      </c>
    </row>
    <row r="72" spans="9:12" x14ac:dyDescent="0.25">
      <c r="I72">
        <f t="shared" si="5"/>
        <v>-0.40000000000000813</v>
      </c>
      <c r="J72">
        <f t="shared" si="4"/>
        <v>0.33617280519483039</v>
      </c>
      <c r="K72">
        <f t="shared" si="6"/>
        <v>0.34457825838967282</v>
      </c>
      <c r="L72">
        <f t="shared" si="7"/>
        <v>-8.4054531948424271E-3</v>
      </c>
    </row>
    <row r="73" spans="9:12" x14ac:dyDescent="0.25">
      <c r="I73">
        <f t="shared" si="5"/>
        <v>-0.30000000000000815</v>
      </c>
      <c r="J73">
        <f t="shared" si="4"/>
        <v>0.37512380981656501</v>
      </c>
      <c r="K73">
        <f t="shared" si="6"/>
        <v>0.38208857781104422</v>
      </c>
      <c r="L73">
        <f t="shared" si="7"/>
        <v>-6.964767994479204E-3</v>
      </c>
    </row>
    <row r="74" spans="9:12" x14ac:dyDescent="0.25">
      <c r="I74">
        <f t="shared" si="5"/>
        <v>-0.20000000000000814</v>
      </c>
      <c r="J74">
        <f t="shared" si="4"/>
        <v>0.4157613159717401</v>
      </c>
      <c r="K74">
        <f t="shared" si="6"/>
        <v>0.42074029056089379</v>
      </c>
      <c r="L74">
        <f t="shared" si="7"/>
        <v>-4.9789745891536952E-3</v>
      </c>
    </row>
    <row r="75" spans="9:12" x14ac:dyDescent="0.25">
      <c r="I75">
        <f t="shared" si="5"/>
        <v>-0.10000000000000814</v>
      </c>
      <c r="J75">
        <f t="shared" si="4"/>
        <v>0.45757745391378307</v>
      </c>
      <c r="K75">
        <f t="shared" si="6"/>
        <v>0.46017216272296779</v>
      </c>
      <c r="L75">
        <f t="shared" si="7"/>
        <v>-2.5947088091847204E-3</v>
      </c>
    </row>
    <row r="76" spans="9:12" x14ac:dyDescent="0.25">
      <c r="I76">
        <f t="shared" si="5"/>
        <v>-8.1323836553792717E-15</v>
      </c>
      <c r="J76">
        <f t="shared" si="4"/>
        <v>0.49999999999999656</v>
      </c>
      <c r="K76">
        <f t="shared" si="6"/>
        <v>0.49999999999999678</v>
      </c>
      <c r="L76">
        <f t="shared" si="7"/>
        <v>0</v>
      </c>
    </row>
    <row r="77" spans="9:12" x14ac:dyDescent="0.25">
      <c r="I77">
        <f t="shared" si="5"/>
        <v>9.9999999999991873E-2</v>
      </c>
      <c r="J77">
        <f t="shared" si="4"/>
        <v>0.54242254608620999</v>
      </c>
      <c r="K77">
        <f t="shared" si="6"/>
        <v>0.53982783727702577</v>
      </c>
      <c r="L77">
        <f t="shared" si="7"/>
        <v>2.5947088091842208E-3</v>
      </c>
    </row>
    <row r="78" spans="9:12" x14ac:dyDescent="0.25">
      <c r="I78">
        <f t="shared" si="5"/>
        <v>0.19999999999999188</v>
      </c>
      <c r="J78">
        <f t="shared" si="4"/>
        <v>0.58423868402825319</v>
      </c>
      <c r="K78">
        <f t="shared" si="6"/>
        <v>0.57925970943909988</v>
      </c>
      <c r="L78">
        <f t="shared" si="7"/>
        <v>4.9789745891533066E-3</v>
      </c>
    </row>
    <row r="79" spans="9:12" x14ac:dyDescent="0.25">
      <c r="I79">
        <f t="shared" si="5"/>
        <v>0.29999999999999188</v>
      </c>
      <c r="J79">
        <f t="shared" si="4"/>
        <v>0.62487619018342844</v>
      </c>
      <c r="K79">
        <f t="shared" si="6"/>
        <v>0.61791142218894957</v>
      </c>
      <c r="L79">
        <f t="shared" si="7"/>
        <v>6.964767994478871E-3</v>
      </c>
    </row>
    <row r="80" spans="9:12" x14ac:dyDescent="0.25">
      <c r="I80">
        <f t="shared" si="5"/>
        <v>0.39999999999999192</v>
      </c>
      <c r="J80">
        <f t="shared" si="4"/>
        <v>0.6638271948051635</v>
      </c>
      <c r="K80">
        <f t="shared" si="6"/>
        <v>0.65542174161032118</v>
      </c>
      <c r="L80">
        <f t="shared" si="7"/>
        <v>8.4054531948423161E-3</v>
      </c>
    </row>
    <row r="81" spans="9:12" x14ac:dyDescent="0.25">
      <c r="I81">
        <f t="shared" si="5"/>
        <v>0.4999999999999919</v>
      </c>
      <c r="J81">
        <f t="shared" si="4"/>
        <v>0.70067111072511445</v>
      </c>
      <c r="K81">
        <f t="shared" si="6"/>
        <v>0.69146246127401034</v>
      </c>
      <c r="L81">
        <f t="shared" si="7"/>
        <v>9.2086494511041117E-3</v>
      </c>
    </row>
    <row r="82" spans="9:12" x14ac:dyDescent="0.25">
      <c r="I82">
        <f t="shared" si="5"/>
        <v>0.59999999999999187</v>
      </c>
      <c r="J82">
        <f t="shared" si="4"/>
        <v>0.73508844443245336</v>
      </c>
      <c r="K82">
        <f t="shared" si="6"/>
        <v>0.72574688224992379</v>
      </c>
      <c r="L82">
        <f t="shared" si="7"/>
        <v>9.3415621825295725E-3</v>
      </c>
    </row>
    <row r="83" spans="9:12" x14ac:dyDescent="0.25">
      <c r="I83">
        <f t="shared" si="5"/>
        <v>0.69999999999999185</v>
      </c>
      <c r="J83">
        <f t="shared" si="4"/>
        <v>0.76686515210475759</v>
      </c>
      <c r="K83">
        <f t="shared" si="6"/>
        <v>0.75803634777692452</v>
      </c>
      <c r="L83">
        <f t="shared" si="7"/>
        <v>8.8288043278330619E-3</v>
      </c>
    </row>
    <row r="84" spans="9:12" x14ac:dyDescent="0.25">
      <c r="I84">
        <f t="shared" si="5"/>
        <v>0.79999999999999183</v>
      </c>
      <c r="J84">
        <f t="shared" si="4"/>
        <v>0.7958885630755439</v>
      </c>
      <c r="K84">
        <f t="shared" si="6"/>
        <v>0.78814460141660092</v>
      </c>
      <c r="L84">
        <f t="shared" si="7"/>
        <v>7.7439616589429772E-3</v>
      </c>
    </row>
    <row r="85" spans="9:12" x14ac:dyDescent="0.25">
      <c r="I85">
        <f t="shared" si="5"/>
        <v>0.89999999999999181</v>
      </c>
      <c r="J85">
        <f t="shared" si="4"/>
        <v>0.82213681771824176</v>
      </c>
      <c r="K85">
        <f t="shared" si="6"/>
        <v>0.81593987465323836</v>
      </c>
      <c r="L85">
        <f t="shared" si="7"/>
        <v>6.1969430650034019E-3</v>
      </c>
    </row>
    <row r="86" spans="9:12" x14ac:dyDescent="0.25">
      <c r="I86">
        <f t="shared" si="5"/>
        <v>0.99999999999999178</v>
      </c>
      <c r="J86">
        <f t="shared" si="4"/>
        <v>0.84566416588760174</v>
      </c>
      <c r="K86">
        <f t="shared" si="6"/>
        <v>0.84134474606854104</v>
      </c>
      <c r="L86">
        <f t="shared" si="7"/>
        <v>4.3194198190606992E-3</v>
      </c>
    </row>
    <row r="87" spans="9:12" x14ac:dyDescent="0.25">
      <c r="I87">
        <f t="shared" si="5"/>
        <v>1.0999999999999919</v>
      </c>
      <c r="J87">
        <f t="shared" si="4"/>
        <v>0.8665844045790384</v>
      </c>
      <c r="K87">
        <f t="shared" si="6"/>
        <v>0.86433393905361555</v>
      </c>
      <c r="L87">
        <f t="shared" si="7"/>
        <v>2.2504655254228512E-3</v>
      </c>
    </row>
    <row r="88" spans="9:12" x14ac:dyDescent="0.25">
      <c r="I88">
        <f t="shared" si="5"/>
        <v>1.199999999999992</v>
      </c>
      <c r="J88">
        <f t="shared" si="4"/>
        <v>0.88505434654760728</v>
      </c>
      <c r="K88">
        <f t="shared" si="6"/>
        <v>0.88493032977829023</v>
      </c>
      <c r="L88">
        <f t="shared" si="7"/>
        <v>1.2401676931705907E-4</v>
      </c>
    </row>
    <row r="89" spans="9:12" x14ac:dyDescent="0.25">
      <c r="I89">
        <f t="shared" si="5"/>
        <v>1.2999999999999921</v>
      </c>
      <c r="J89">
        <f t="shared" si="4"/>
        <v>0.90125867374371005</v>
      </c>
      <c r="K89">
        <f t="shared" si="6"/>
        <v>0.90319951541438837</v>
      </c>
      <c r="L89">
        <f t="shared" si="7"/>
        <v>-1.9408416706783171E-3</v>
      </c>
    </row>
    <row r="90" spans="9:12" x14ac:dyDescent="0.25">
      <c r="I90">
        <f t="shared" si="5"/>
        <v>1.3999999999999921</v>
      </c>
      <c r="J90">
        <f t="shared" si="4"/>
        <v>0.91539698130661751</v>
      </c>
      <c r="K90">
        <f t="shared" si="6"/>
        <v>0.91924334076622771</v>
      </c>
      <c r="L90">
        <f t="shared" si="7"/>
        <v>-3.8463594596102046E-3</v>
      </c>
    </row>
    <row r="91" spans="9:12" x14ac:dyDescent="0.25">
      <c r="I91">
        <f t="shared" si="5"/>
        <v>1.4999999999999922</v>
      </c>
      <c r="J91">
        <f t="shared" si="4"/>
        <v>0.92767335027384634</v>
      </c>
      <c r="K91">
        <f t="shared" si="6"/>
        <v>0.93319279873114092</v>
      </c>
      <c r="L91">
        <f t="shared" si="7"/>
        <v>-5.5194484572945735E-3</v>
      </c>
    </row>
    <row r="92" spans="9:12" x14ac:dyDescent="0.25">
      <c r="I92">
        <f t="shared" si="5"/>
        <v>1.5999999999999923</v>
      </c>
      <c r="J92">
        <f t="shared" si="4"/>
        <v>0.9382884409282316</v>
      </c>
      <c r="K92">
        <f t="shared" si="6"/>
        <v>0.94520070830044123</v>
      </c>
      <c r="L92">
        <f t="shared" si="7"/>
        <v>-6.912267372209624E-3</v>
      </c>
    </row>
    <row r="93" spans="9:12" x14ac:dyDescent="0.25">
      <c r="I93">
        <f t="shared" si="5"/>
        <v>1.6999999999999924</v>
      </c>
      <c r="J93">
        <f t="shared" si="4"/>
        <v>0.94743387705645854</v>
      </c>
      <c r="K93">
        <f t="shared" si="6"/>
        <v>0.95543453724145633</v>
      </c>
      <c r="L93">
        <f t="shared" si="7"/>
        <v>-8.0006601849977876E-3</v>
      </c>
    </row>
    <row r="94" spans="9:12" x14ac:dyDescent="0.25">
      <c r="I94">
        <f t="shared" si="5"/>
        <v>1.7999999999999925</v>
      </c>
      <c r="J94">
        <f t="shared" si="4"/>
        <v>0.95528857562728386</v>
      </c>
      <c r="K94">
        <f t="shared" si="6"/>
        <v>0.96406968088707368</v>
      </c>
      <c r="L94">
        <f t="shared" si="7"/>
        <v>-8.781105259789812E-3</v>
      </c>
    </row>
    <row r="95" spans="9:12" x14ac:dyDescent="0.25">
      <c r="I95">
        <f t="shared" si="5"/>
        <v>1.8999999999999926</v>
      </c>
      <c r="J95">
        <f t="shared" si="4"/>
        <v>0.96201663913174373</v>
      </c>
      <c r="K95">
        <f t="shared" si="6"/>
        <v>0.9712834401839977</v>
      </c>
      <c r="L95">
        <f t="shared" si="7"/>
        <v>-9.2668010522539701E-3</v>
      </c>
    </row>
    <row r="96" spans="9:12" x14ac:dyDescent="0.25">
      <c r="I96">
        <f t="shared" si="5"/>
        <v>1.9999999999999927</v>
      </c>
      <c r="J96">
        <f t="shared" si="4"/>
        <v>0.96776644181211391</v>
      </c>
      <c r="K96">
        <f t="shared" si="6"/>
        <v>0.97724986805182046</v>
      </c>
      <c r="L96">
        <f t="shared" si="7"/>
        <v>-9.4834262397065494E-3</v>
      </c>
    </row>
    <row r="97" spans="9:12" x14ac:dyDescent="0.25">
      <c r="I97">
        <f t="shared" si="5"/>
        <v>2.0999999999999925</v>
      </c>
      <c r="J97">
        <f t="shared" si="4"/>
        <v>0.9726705836634586</v>
      </c>
      <c r="K97">
        <f t="shared" si="6"/>
        <v>0.9821355794371831</v>
      </c>
      <c r="L97">
        <f t="shared" si="7"/>
        <v>-9.464995773724505E-3</v>
      </c>
    </row>
    <row r="98" spans="9:12" x14ac:dyDescent="0.25">
      <c r="I98">
        <f t="shared" si="5"/>
        <v>2.1999999999999926</v>
      </c>
      <c r="J98">
        <f t="shared" si="4"/>
        <v>0.97684644095276529</v>
      </c>
      <c r="K98">
        <f t="shared" si="6"/>
        <v>0.98609655248650119</v>
      </c>
      <c r="L98">
        <f t="shared" si="7"/>
        <v>-9.2501115337358941E-3</v>
      </c>
    </row>
    <row r="99" spans="9:12" x14ac:dyDescent="0.25">
      <c r="I99">
        <f t="shared" si="5"/>
        <v>2.2999999999999927</v>
      </c>
      <c r="J99">
        <f t="shared" si="4"/>
        <v>0.98039709834058786</v>
      </c>
      <c r="K99">
        <f t="shared" si="6"/>
        <v>0.98927588997832394</v>
      </c>
      <c r="L99">
        <f t="shared" si="7"/>
        <v>-8.8787916377360832E-3</v>
      </c>
    </row>
    <row r="100" spans="9:12" x14ac:dyDescent="0.25">
      <c r="I100">
        <f t="shared" si="5"/>
        <v>2.3999999999999928</v>
      </c>
      <c r="J100">
        <f t="shared" si="4"/>
        <v>0.9834124993651977</v>
      </c>
      <c r="K100">
        <f t="shared" si="6"/>
        <v>0.99180246407540373</v>
      </c>
      <c r="L100">
        <f t="shared" si="7"/>
        <v>-8.3899647102060326E-3</v>
      </c>
    </row>
    <row r="101" spans="9:12" x14ac:dyDescent="0.25">
      <c r="I101">
        <f t="shared" si="5"/>
        <v>2.4999999999999929</v>
      </c>
      <c r="J101">
        <f t="shared" si="4"/>
        <v>0.9859706961745518</v>
      </c>
      <c r="K101">
        <f t="shared" si="6"/>
        <v>0.99379033467422373</v>
      </c>
      <c r="L101">
        <f t="shared" si="7"/>
        <v>-7.8196384996719326E-3</v>
      </c>
    </row>
    <row r="102" spans="9:12" x14ac:dyDescent="0.25">
      <c r="I102">
        <f t="shared" si="5"/>
        <v>2.599999999999993</v>
      </c>
      <c r="J102">
        <f t="shared" si="4"/>
        <v>0.98813911517740927</v>
      </c>
      <c r="K102">
        <f t="shared" si="6"/>
        <v>0.99533881197628116</v>
      </c>
      <c r="L102">
        <f t="shared" si="7"/>
        <v>-7.1996967988718907E-3</v>
      </c>
    </row>
    <row r="103" spans="9:12" x14ac:dyDescent="0.25">
      <c r="I103">
        <f t="shared" si="5"/>
        <v>2.6999999999999931</v>
      </c>
      <c r="J103">
        <f t="shared" si="4"/>
        <v>0.98997578314818657</v>
      </c>
      <c r="K103">
        <f t="shared" si="6"/>
        <v>0.99653302619695927</v>
      </c>
      <c r="L103">
        <f t="shared" si="7"/>
        <v>-6.5572430487726985E-3</v>
      </c>
    </row>
    <row r="104" spans="9:12" x14ac:dyDescent="0.25">
      <c r="I104">
        <f t="shared" si="5"/>
        <v>2.7999999999999932</v>
      </c>
      <c r="J104">
        <f t="shared" si="4"/>
        <v>0.99153047926839477</v>
      </c>
      <c r="K104">
        <f t="shared" si="6"/>
        <v>0.99744486966957202</v>
      </c>
      <c r="L104">
        <f t="shared" si="7"/>
        <v>-5.9143904011772497E-3</v>
      </c>
    </row>
    <row r="105" spans="9:12" x14ac:dyDescent="0.25">
      <c r="I105">
        <f t="shared" si="5"/>
        <v>2.8999999999999932</v>
      </c>
      <c r="J105">
        <f t="shared" si="4"/>
        <v>0.99284579383132343</v>
      </c>
      <c r="K105">
        <f t="shared" si="6"/>
        <v>0.99813418669961596</v>
      </c>
      <c r="L105">
        <f t="shared" si="7"/>
        <v>-5.2883928682925241E-3</v>
      </c>
    </row>
    <row r="106" spans="9:12" x14ac:dyDescent="0.25">
      <c r="I106">
        <f t="shared" si="5"/>
        <v>2.9999999999999933</v>
      </c>
      <c r="J106">
        <f t="shared" si="4"/>
        <v>0.99395808506650507</v>
      </c>
      <c r="K106">
        <f t="shared" si="6"/>
        <v>0.9986501019683699</v>
      </c>
      <c r="L106">
        <f t="shared" si="7"/>
        <v>-4.6920169018648261E-3</v>
      </c>
    </row>
    <row r="107" spans="9:12" x14ac:dyDescent="0.25">
      <c r="I107">
        <f t="shared" si="5"/>
        <v>3.0999999999999934</v>
      </c>
      <c r="J107">
        <f t="shared" si="4"/>
        <v>0.99489833281549089</v>
      </c>
      <c r="K107">
        <f t="shared" si="6"/>
        <v>0.99903239678678157</v>
      </c>
      <c r="L107">
        <f t="shared" si="7"/>
        <v>-4.1340639712906802E-3</v>
      </c>
    </row>
    <row r="108" spans="9:12" x14ac:dyDescent="0.25">
      <c r="I108">
        <f t="shared" si="5"/>
        <v>3.1999999999999935</v>
      </c>
      <c r="J108">
        <f t="shared" si="4"/>
        <v>0.99569289249595128</v>
      </c>
      <c r="K108">
        <f t="shared" si="6"/>
        <v>0.99931286206208414</v>
      </c>
      <c r="L108">
        <f t="shared" si="7"/>
        <v>-3.6199695661328635E-3</v>
      </c>
    </row>
    <row r="109" spans="9:12" x14ac:dyDescent="0.25">
      <c r="I109">
        <f t="shared" si="5"/>
        <v>3.2999999999999936</v>
      </c>
      <c r="J109">
        <f t="shared" si="4"/>
        <v>0.99636415563571334</v>
      </c>
      <c r="K109">
        <f t="shared" si="6"/>
        <v>0.99951657585761622</v>
      </c>
      <c r="L109">
        <f t="shared" si="7"/>
        <v>-3.1524202219028741E-3</v>
      </c>
    </row>
    <row r="110" spans="9:12" x14ac:dyDescent="0.25">
      <c r="I110">
        <f t="shared" si="5"/>
        <v>3.3999999999999937</v>
      </c>
      <c r="J110">
        <f t="shared" si="4"/>
        <v>0.99693112479087065</v>
      </c>
      <c r="K110">
        <f t="shared" si="6"/>
        <v>0.99966307073432314</v>
      </c>
      <c r="L110">
        <f t="shared" si="7"/>
        <v>-2.7319459434524962E-3</v>
      </c>
    </row>
    <row r="111" spans="9:12" x14ac:dyDescent="0.25">
      <c r="I111">
        <f t="shared" si="5"/>
        <v>3.4999999999999938</v>
      </c>
      <c r="J111">
        <f t="shared" si="4"/>
        <v>0.99740991129624645</v>
      </c>
      <c r="K111">
        <f t="shared" si="6"/>
        <v>0.99976737092096446</v>
      </c>
      <c r="L111">
        <f t="shared" si="7"/>
        <v>-2.3574596247180057E-3</v>
      </c>
    </row>
    <row r="112" spans="9:12" x14ac:dyDescent="0.25">
      <c r="I112">
        <f t="shared" si="5"/>
        <v>3.5999999999999939</v>
      </c>
      <c r="J112">
        <f t="shared" si="4"/>
        <v>0.99781416433697423</v>
      </c>
      <c r="K112">
        <f t="shared" si="6"/>
        <v>0.99984089140984245</v>
      </c>
      <c r="L112">
        <f t="shared" si="7"/>
        <v>-2.0267270728682174E-3</v>
      </c>
    </row>
    <row r="113" spans="9:12" x14ac:dyDescent="0.25">
      <c r="I113">
        <f t="shared" si="5"/>
        <v>3.699999999999994</v>
      </c>
      <c r="J113">
        <f t="shared" si="4"/>
        <v>0.99815543949633401</v>
      </c>
      <c r="K113">
        <f t="shared" si="6"/>
        <v>0.99989220026652259</v>
      </c>
      <c r="L113">
        <f t="shared" si="7"/>
        <v>-1.7367607701885834E-3</v>
      </c>
    </row>
    <row r="114" spans="9:12" x14ac:dyDescent="0.25">
      <c r="I114">
        <f t="shared" si="5"/>
        <v>3.799999999999994</v>
      </c>
      <c r="J114">
        <f t="shared" si="4"/>
        <v>0.9984435143820718</v>
      </c>
      <c r="K114">
        <f t="shared" si="6"/>
        <v>0.99992765195607491</v>
      </c>
      <c r="L114">
        <f t="shared" si="7"/>
        <v>-1.4841375740031193E-3</v>
      </c>
    </row>
    <row r="115" spans="9:12" x14ac:dyDescent="0.25">
      <c r="I115">
        <f t="shared" si="5"/>
        <v>3.8999999999999941</v>
      </c>
      <c r="J115">
        <f t="shared" si="4"/>
        <v>0.99868665826785419</v>
      </c>
      <c r="K115">
        <f t="shared" si="6"/>
        <v>0.99995190365598241</v>
      </c>
      <c r="L115">
        <f t="shared" si="7"/>
        <v>-1.2652453881282222E-3</v>
      </c>
    </row>
    <row r="116" spans="9:12" x14ac:dyDescent="0.25">
      <c r="I116">
        <f t="shared" si="5"/>
        <v>3.9999999999999942</v>
      </c>
      <c r="J116">
        <f t="shared" si="4"/>
        <v>0.99889186197967639</v>
      </c>
      <c r="K116">
        <f t="shared" si="6"/>
        <v>0.99996832875816688</v>
      </c>
      <c r="L116">
        <f t="shared" si="7"/>
        <v>-1.0764667784904924E-3</v>
      </c>
    </row>
    <row r="117" spans="9:12" x14ac:dyDescent="0.25">
      <c r="I117">
        <f t="shared" si="5"/>
        <v>4.0999999999999943</v>
      </c>
      <c r="J117">
        <f t="shared" si="4"/>
        <v>0.99906503355511866</v>
      </c>
      <c r="K117">
        <f t="shared" si="6"/>
        <v>0.9999793424930874</v>
      </c>
      <c r="L117">
        <f t="shared" si="7"/>
        <v>-9.1430893796873303E-4</v>
      </c>
    </row>
    <row r="118" spans="9:12" x14ac:dyDescent="0.25">
      <c r="I118">
        <f t="shared" si="5"/>
        <v>4.199999999999994</v>
      </c>
      <c r="J118">
        <f t="shared" si="4"/>
        <v>0.99921116453467917</v>
      </c>
      <c r="K118">
        <f t="shared" si="6"/>
        <v>0.9999866542509841</v>
      </c>
      <c r="L118">
        <f t="shared" si="7"/>
        <v>-7.7548971630492236E-4</v>
      </c>
    </row>
    <row r="119" spans="9:12" x14ac:dyDescent="0.25">
      <c r="I119">
        <f t="shared" si="5"/>
        <v>4.2999999999999936</v>
      </c>
      <c r="J119">
        <f t="shared" si="4"/>
        <v>0.99933447112505958</v>
      </c>
      <c r="K119">
        <f t="shared" si="6"/>
        <v>0.99999146009452899</v>
      </c>
      <c r="L119">
        <f t="shared" si="7"/>
        <v>-6.5698896946941865E-4</v>
      </c>
    </row>
    <row r="120" spans="9:12" x14ac:dyDescent="0.25">
      <c r="I120">
        <f t="shared" si="5"/>
        <v>4.3999999999999932</v>
      </c>
      <c r="J120">
        <f t="shared" si="4"/>
        <v>0.9994385139119778</v>
      </c>
      <c r="K120">
        <f t="shared" si="6"/>
        <v>0.99999458745609227</v>
      </c>
      <c r="L120">
        <f t="shared" si="7"/>
        <v>-5.5607354411446597E-4</v>
      </c>
    </row>
    <row r="121" spans="9:12" x14ac:dyDescent="0.25">
      <c r="I121">
        <f t="shared" si="5"/>
        <v>4.4999999999999929</v>
      </c>
      <c r="J121">
        <f t="shared" si="4"/>
        <v>0.99952629929709313</v>
      </c>
      <c r="K121">
        <f t="shared" si="6"/>
        <v>0.99999660232687526</v>
      </c>
      <c r="L121">
        <f t="shared" si="7"/>
        <v>-4.7030302978212646E-4</v>
      </c>
    </row>
    <row r="122" spans="9:12" x14ac:dyDescent="0.25">
      <c r="I122">
        <f t="shared" si="5"/>
        <v>4.5999999999999925</v>
      </c>
      <c r="J122">
        <f t="shared" si="4"/>
        <v>0.9996003653887473</v>
      </c>
      <c r="K122">
        <f t="shared" si="6"/>
        <v>0.9999978875452975</v>
      </c>
      <c r="L122">
        <f t="shared" si="7"/>
        <v>-3.9752215655020073E-4</v>
      </c>
    </row>
    <row r="123" spans="9:12" x14ac:dyDescent="0.25">
      <c r="I123">
        <f t="shared" si="5"/>
        <v>4.6999999999999922</v>
      </c>
      <c r="J123">
        <f t="shared" si="4"/>
        <v>0.99966285468620297</v>
      </c>
      <c r="K123">
        <f t="shared" si="6"/>
        <v>0.99999869919254614</v>
      </c>
      <c r="L123">
        <f t="shared" si="7"/>
        <v>-3.3584450634316365E-4</v>
      </c>
    </row>
    <row r="124" spans="9:12" x14ac:dyDescent="0.25">
      <c r="I124">
        <f t="shared" si="5"/>
        <v>4.7999999999999918</v>
      </c>
      <c r="J124">
        <f t="shared" si="4"/>
        <v>0.99971557555747592</v>
      </c>
      <c r="K124">
        <f t="shared" si="6"/>
        <v>0.99999920667184805</v>
      </c>
      <c r="L124">
        <f t="shared" si="7"/>
        <v>-2.8363111437212929E-4</v>
      </c>
    </row>
    <row r="125" spans="9:12" x14ac:dyDescent="0.25">
      <c r="I125">
        <f t="shared" si="5"/>
        <v>4.8999999999999915</v>
      </c>
      <c r="J125">
        <f t="shared" si="4"/>
        <v>0.99976005421685343</v>
      </c>
      <c r="K125">
        <f t="shared" si="6"/>
        <v>0.99999952081672339</v>
      </c>
      <c r="L125">
        <f t="shared" si="7"/>
        <v>-2.39466599869953E-4</v>
      </c>
    </row>
    <row r="126" spans="9:12" x14ac:dyDescent="0.25">
      <c r="I126">
        <f t="shared" si="5"/>
        <v>4.9999999999999911</v>
      </c>
      <c r="J126">
        <f t="shared" si="4"/>
        <v>0.99979757865475816</v>
      </c>
      <c r="K126">
        <f t="shared" si="6"/>
        <v>0.99999971334842808</v>
      </c>
      <c r="L126">
        <f t="shared" si="7"/>
        <v>-2.0213469366991976E-4</v>
      </c>
    </row>
    <row r="127" spans="9:12" x14ac:dyDescent="0.25">
      <c r="I127">
        <f t="shared" si="5"/>
        <v>5.0999999999999908</v>
      </c>
      <c r="J127">
        <f t="shared" si="4"/>
        <v>0.99982923575499372</v>
      </c>
      <c r="K127">
        <f t="shared" si="6"/>
        <v>0.99999983017325933</v>
      </c>
      <c r="L127">
        <f t="shared" si="7"/>
        <v>-1.7059441826561272E-4</v>
      </c>
    </row>
    <row r="128" spans="9:12" x14ac:dyDescent="0.25">
      <c r="I128">
        <f t="shared" si="5"/>
        <v>5.1999999999999904</v>
      </c>
      <c r="J128">
        <f t="shared" si="4"/>
        <v>0.99985594264805289</v>
      </c>
      <c r="K128">
        <f t="shared" si="6"/>
        <v>0.99999990035573683</v>
      </c>
      <c r="L128">
        <f t="shared" si="7"/>
        <v>-1.4395770768393934E-4</v>
      </c>
    </row>
    <row r="129" spans="9:12" x14ac:dyDescent="0.25">
      <c r="I129">
        <f t="shared" si="5"/>
        <v>5.2999999999999901</v>
      </c>
      <c r="J129">
        <f t="shared" si="4"/>
        <v>0.99987847319001433</v>
      </c>
      <c r="K129">
        <f t="shared" si="6"/>
        <v>0.99999994209865961</v>
      </c>
      <c r="L129">
        <f t="shared" si="7"/>
        <v>-1.2146890864528359E-4</v>
      </c>
    </row>
    <row r="130" spans="9:12" x14ac:dyDescent="0.25">
      <c r="I130">
        <f t="shared" si="5"/>
        <v>5.3999999999999897</v>
      </c>
      <c r="J130">
        <f t="shared" si="4"/>
        <v>0.99989748032088199</v>
      </c>
      <c r="K130">
        <f t="shared" si="6"/>
        <v>0.99999996667955149</v>
      </c>
      <c r="L130">
        <f t="shared" si="7"/>
        <v>-1.0248635866949574E-4</v>
      </c>
    </row>
    <row r="131" spans="9:12" x14ac:dyDescent="0.25">
      <c r="I131">
        <f t="shared" si="5"/>
        <v>5.4999999999999893</v>
      </c>
      <c r="J131">
        <f t="shared" si="4"/>
        <v>0.99991351494078251</v>
      </c>
      <c r="K131">
        <f t="shared" si="6"/>
        <v>0.99999998101043752</v>
      </c>
      <c r="L131">
        <f t="shared" si="7"/>
        <v>-8.6466069655011246E-5</v>
      </c>
    </row>
    <row r="132" spans="9:12" x14ac:dyDescent="0.25">
      <c r="I132">
        <f t="shared" si="5"/>
        <v>5.599999999999989</v>
      </c>
      <c r="J132">
        <f t="shared" si="4"/>
        <v>0.9999270418443359</v>
      </c>
      <c r="K132">
        <f t="shared" si="6"/>
        <v>0.99999998928240974</v>
      </c>
      <c r="L132">
        <f t="shared" si="7"/>
        <v>-7.294743807384485E-5</v>
      </c>
    </row>
    <row r="133" spans="9:12" x14ac:dyDescent="0.25">
      <c r="I133">
        <f t="shared" si="5"/>
        <v>5.6999999999999886</v>
      </c>
      <c r="J133">
        <f t="shared" si="4"/>
        <v>0.99993845317025343</v>
      </c>
      <c r="K133">
        <f t="shared" si="6"/>
        <v>0.99999999400962858</v>
      </c>
      <c r="L133">
        <f t="shared" si="7"/>
        <v>-6.1540839375151535E-5</v>
      </c>
    </row>
    <row r="134" spans="9:12" x14ac:dyDescent="0.25">
      <c r="I134">
        <f t="shared" si="5"/>
        <v>5.7999999999999883</v>
      </c>
      <c r="J134">
        <f t="shared" ref="J134:J146" si="8">1/(1+EXP(-I134/$J$4))</f>
        <v>0.99994807975262134</v>
      </c>
      <c r="K134">
        <f t="shared" si="6"/>
        <v>0.99999999668425399</v>
      </c>
      <c r="L134">
        <f t="shared" si="7"/>
        <v>-5.1916931632645102E-5</v>
      </c>
    </row>
    <row r="135" spans="9:12" x14ac:dyDescent="0.25">
      <c r="I135">
        <f t="shared" ref="I135:I146" si="9">I134+0.1</f>
        <v>5.8999999999999879</v>
      </c>
      <c r="J135">
        <f t="shared" si="8"/>
        <v>0.99995620070051061</v>
      </c>
      <c r="K135">
        <f t="shared" ref="K135:K146" si="10">NORMSDIST(I135)</f>
        <v>0.99999999818249219</v>
      </c>
      <c r="L135">
        <f t="shared" ref="L135:L146" si="11">J135-K135</f>
        <v>-4.3797481981577846E-5</v>
      </c>
    </row>
    <row r="136" spans="9:12" x14ac:dyDescent="0.25">
      <c r="I136">
        <f t="shared" si="9"/>
        <v>5.9999999999999876</v>
      </c>
      <c r="J136">
        <f t="shared" si="8"/>
        <v>0.99996305148192199</v>
      </c>
      <c r="K136">
        <f t="shared" si="10"/>
        <v>0.9999999990134123</v>
      </c>
      <c r="L136">
        <f t="shared" si="11"/>
        <v>-3.6947531490305607E-5</v>
      </c>
    </row>
    <row r="137" spans="9:12" x14ac:dyDescent="0.25">
      <c r="I137">
        <f t="shared" si="9"/>
        <v>6.0999999999999872</v>
      </c>
      <c r="J137">
        <f t="shared" si="8"/>
        <v>0.99996883074521403</v>
      </c>
      <c r="K137">
        <f t="shared" si="10"/>
        <v>0.99999999946965767</v>
      </c>
      <c r="L137">
        <f t="shared" si="11"/>
        <v>-3.1168724443642049E-5</v>
      </c>
    </row>
    <row r="138" spans="9:12" x14ac:dyDescent="0.25">
      <c r="I138">
        <f t="shared" si="9"/>
        <v>6.1999999999999869</v>
      </c>
      <c r="J138">
        <f t="shared" si="8"/>
        <v>0.99997370607493363</v>
      </c>
      <c r="K138">
        <f t="shared" si="10"/>
        <v>0.99999999971768416</v>
      </c>
      <c r="L138">
        <f t="shared" si="11"/>
        <v>-2.6293642750530033E-5</v>
      </c>
    </row>
    <row r="139" spans="9:12" x14ac:dyDescent="0.25">
      <c r="I139">
        <f t="shared" si="9"/>
        <v>6.2999999999999865</v>
      </c>
      <c r="J139">
        <f t="shared" si="8"/>
        <v>0.99997781884831993</v>
      </c>
      <c r="K139">
        <f t="shared" si="10"/>
        <v>0.99999999985117716</v>
      </c>
      <c r="L139">
        <f t="shared" si="11"/>
        <v>-2.2181002857224463E-5</v>
      </c>
    </row>
    <row r="140" spans="9:12" x14ac:dyDescent="0.25">
      <c r="I140">
        <f t="shared" si="9"/>
        <v>6.3999999999999861</v>
      </c>
      <c r="J140">
        <f t="shared" si="8"/>
        <v>0.99998128833287159</v>
      </c>
      <c r="K140">
        <f t="shared" si="10"/>
        <v>0.99999999992231148</v>
      </c>
      <c r="L140">
        <f t="shared" si="11"/>
        <v>-1.8711589439890375E-5</v>
      </c>
    </row>
    <row r="141" spans="9:12" x14ac:dyDescent="0.25">
      <c r="I141">
        <f t="shared" si="9"/>
        <v>6.4999999999999858</v>
      </c>
      <c r="J141">
        <f t="shared" si="8"/>
        <v>0.99998421514348013</v>
      </c>
      <c r="K141">
        <f t="shared" si="10"/>
        <v>0.99999999995984001</v>
      </c>
      <c r="L141">
        <f t="shared" si="11"/>
        <v>-1.5784816359887266E-5</v>
      </c>
    </row>
    <row r="142" spans="9:12" x14ac:dyDescent="0.25">
      <c r="I142">
        <f t="shared" si="9"/>
        <v>6.5999999999999854</v>
      </c>
      <c r="J142">
        <f t="shared" si="8"/>
        <v>0.99998668415916292</v>
      </c>
      <c r="K142">
        <f t="shared" si="10"/>
        <v>0.99999999997944211</v>
      </c>
      <c r="L142">
        <f t="shared" si="11"/>
        <v>-1.3315820279191648E-5</v>
      </c>
    </row>
    <row r="143" spans="9:12" x14ac:dyDescent="0.25">
      <c r="I143">
        <f t="shared" si="9"/>
        <v>6.6999999999999851</v>
      </c>
      <c r="J143">
        <f t="shared" si="8"/>
        <v>0.99998876698381756</v>
      </c>
      <c r="K143">
        <f t="shared" si="10"/>
        <v>0.999999999989579</v>
      </c>
      <c r="L143">
        <f t="shared" si="11"/>
        <v>-1.1233005761446258E-5</v>
      </c>
    </row>
    <row r="144" spans="9:12" x14ac:dyDescent="0.25">
      <c r="I144">
        <f t="shared" si="9"/>
        <v>6.7999999999999847</v>
      </c>
      <c r="J144">
        <f t="shared" si="8"/>
        <v>0.99999052402225397</v>
      </c>
      <c r="K144">
        <f t="shared" si="10"/>
        <v>0.99999999999476907</v>
      </c>
      <c r="L144">
        <f t="shared" si="11"/>
        <v>-9.4759725151050134E-6</v>
      </c>
    </row>
    <row r="145" spans="9:12" x14ac:dyDescent="0.25">
      <c r="I145">
        <f t="shared" si="9"/>
        <v>6.8999999999999844</v>
      </c>
      <c r="J145">
        <f t="shared" si="8"/>
        <v>0.99999200623162032</v>
      </c>
      <c r="K145">
        <f t="shared" si="10"/>
        <v>0.99999999999739986</v>
      </c>
      <c r="L145">
        <f t="shared" si="11"/>
        <v>-7.9937657795348116E-6</v>
      </c>
    </row>
    <row r="146" spans="9:12" x14ac:dyDescent="0.25">
      <c r="I146">
        <f t="shared" si="9"/>
        <v>6.999999999999984</v>
      </c>
      <c r="J146">
        <f t="shared" si="8"/>
        <v>0.99999325659897009</v>
      </c>
      <c r="K146">
        <f t="shared" si="10"/>
        <v>0.99999999999872013</v>
      </c>
      <c r="L146">
        <f t="shared" si="11"/>
        <v>-6.7433997500421228E-6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Approx Max</vt:lpstr>
      <vt:lpstr>Approx CDF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Sebastien Gurrieri</dc:creator>
  <cp:lastModifiedBy>Sebastien Gurrieri</cp:lastModifiedBy>
  <dcterms:created xsi:type="dcterms:W3CDTF">2022-12-19T05:37:26Z</dcterms:created>
  <dcterms:modified xsi:type="dcterms:W3CDTF">2022-12-19T15:46:39Z</dcterms:modified>
</cp:coreProperties>
</file>